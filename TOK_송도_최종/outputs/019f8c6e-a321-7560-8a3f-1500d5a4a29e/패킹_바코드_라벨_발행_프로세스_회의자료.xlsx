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80b76dcee42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회의요약" sheetId="1" r:id="Rff36d1b97ffd4175"/>
    <x:sheet xmlns:r="http://schemas.openxmlformats.org/officeDocument/2006/relationships" name="현행라벨" sheetId="2" r:id="R771c62ec2ef140b3"/>
    <x:sheet xmlns:r="http://schemas.openxmlformats.org/officeDocument/2006/relationships" name="현행데이터_변환" sheetId="3" r:id="Rd2e265e9783c4b9d"/>
    <x:sheet xmlns:r="http://schemas.openxmlformats.org/officeDocument/2006/relationships" name="업체협의사항" sheetId="4" r:id="Rb045ce6cf8d94141"/>
  </x:sheets>
</x:workbook>
</file>

<file path=xl/comments1.xml><?xml version="1.0" encoding="utf-8"?>
<x:comments xmlns:x="http://schemas.openxmlformats.org/spreadsheetml/2006/main">
  <x:authors>
    <x:author>tc={C86DC059-99A3-85BE-B22E-3EBC0BA82683}</x:author>
  </x:authors>
  <x:commentList>
    <x:comment ref="B2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현행 Frm3800 소스는 BOX당 입수량을 4로 고정합니다. 회의에서 품목별 가변 여부와 수량 단위를 확정해야 합니다.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22">
    <x:font>
      <x:sz val="11"/>
      <x:name val="Carlito"/>
    </x:font>
    <x:font>
      <x:sz val="10"/>
      <x:color rgb="FF1F2933"/>
      <x:name val="맑은 고딕"/>
    </x:font>
    <x:font>
      <x:b/>
      <x:sz val="22"/>
      <x:color rgb="FFFFFFFF"/>
      <x:name val="맑은 고딕"/>
    </x:font>
    <x:font>
      <x:sz val="10"/>
      <x:color rgb="FFEAF2F8"/>
      <x:name val="맑은 고딕"/>
    </x:font>
    <x:font>
      <x:b/>
      <x:sz val="12"/>
      <x:color rgb="FFFFFFFF"/>
      <x:name val="맑은 고딕"/>
    </x:font>
    <x:font>
      <x:b/>
      <x:sz val="11"/>
      <x:color rgb="FF1F2933"/>
      <x:name val="맑은 고딕"/>
    </x:font>
    <x:font>
      <x:b/>
      <x:sz val="14"/>
      <x:color rgb="FFFFFFFF"/>
      <x:name val="맑은 고딕"/>
    </x:font>
    <x:font>
      <x:b/>
      <x:sz val="11"/>
      <x:color rgb="FF2E7D5A"/>
      <x:name val="맑은 고딕"/>
    </x:font>
    <x:font>
      <x:b/>
      <x:sz val="11"/>
      <x:color rgb="FF2F6B9A"/>
      <x:name val="맑은 고딕"/>
    </x:font>
    <x:font>
      <x:b/>
      <x:sz val="10"/>
      <x:color rgb="FFFFFFFF"/>
      <x:name val="맑은 고딕"/>
    </x:font>
    <x:font>
      <x:b/>
      <x:sz val="10"/>
      <x:color rgb="FF17324D"/>
      <x:name val="맑은 고딕"/>
    </x:font>
    <x:font>
      <x:b/>
      <x:sz val="11"/>
      <x:color rgb="FF17324D"/>
      <x:name val="Consolas"/>
    </x:font>
    <x:font>
      <x:i/>
      <x:sz val="9"/>
      <x:color rgb="FF5B6773"/>
      <x:name val="맑은 고딕"/>
    </x:font>
    <x:font>
      <x:b/>
      <x:sz val="10"/>
      <x:color rgb="FF17324D"/>
      <x:name val="Consolas"/>
    </x:font>
    <x:font>
      <x:b/>
      <x:sz val="10"/>
      <x:color rgb="FF1F7A78"/>
      <x:name val="맑은 고딕"/>
    </x:font>
    <x:font>
      <x:b/>
      <x:sz val="10"/>
      <x:color rgb="FF1F2933"/>
      <x:name val="맑은 고딕"/>
    </x:font>
    <x:font>
      <x:b/>
      <x:sz val="11"/>
      <x:color rgb="FF17324D"/>
      <x:name val="맑은 고딕"/>
    </x:font>
    <x:font>
      <x:sz val="9"/>
      <x:color rgb="FF1F2933"/>
      <x:name val="Consolas"/>
    </x:font>
    <x:font>
      <x:b/>
      <x:sz val="9"/>
      <x:color rgb="FF1F7A78"/>
      <x:name val="맑은 고딕"/>
    </x:font>
    <x:font>
      <x:b/>
      <x:sz val="10"/>
      <x:color rgb="FF2F6B9A"/>
      <x:name val="맑은 고딕"/>
    </x:font>
    <x:font>
      <x:b/>
      <x:sz val="9"/>
      <x:color rgb="FF2F6B9A"/>
      <x:name val="맑은 고딕"/>
    </x:font>
    <x:font>
      <x:b/>
      <x:sz val="10"/>
      <x:color rgb="FFE88B2C"/>
      <x:name val="맑은 고딕"/>
    </x:font>
  </x:fonts>
  <x:fills count="1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34A68"/>
      </x:patternFill>
    </x:fill>
    <x:fill>
      <x:patternFill patternType="solid">
        <x:fgColor rgb="FF1F7A78"/>
      </x:patternFill>
    </x:fill>
    <x:fill>
      <x:patternFill patternType="solid">
        <x:fgColor rgb="FFEAF2F8"/>
      </x:patternFill>
    </x:fill>
    <x:fill>
      <x:patternFill patternType="solid">
        <x:fgColor rgb="FFE8F4F3"/>
      </x:patternFill>
    </x:fill>
    <x:fill>
      <x:patternFill patternType="solid">
        <x:fgColor rgb="FFFFF3E6"/>
      </x:patternFill>
    </x:fill>
    <x:fill>
      <x:patternFill patternType="solid">
        <x:fgColor rgb="FFEAF5EF"/>
      </x:patternFill>
    </x:fill>
    <x:fill>
      <x:patternFill patternType="solid">
        <x:fgColor rgb="FF2E7D5A"/>
      </x:patternFill>
    </x:fill>
    <x:fill>
      <x:patternFill patternType="solid">
        <x:fgColor rgb="FF2F6B9A"/>
      </x:patternFill>
    </x:fill>
    <x:fill>
      <x:patternFill patternType="solid">
        <x:fgColor rgb="FFFFFFFF"/>
      </x:patternFill>
    </x:fill>
    <x:fill>
      <x:patternFill patternType="solid">
        <x:fgColor rgb="FFF5F7F9"/>
      </x:patternFill>
    </x:fill>
    <x:fill>
      <x:patternFill patternType="solid">
        <x:fgColor rgb="FFFFF9E8"/>
      </x:patternFill>
    </x:fill>
    <x:fill>
      <x:patternFill patternType="solid">
        <x:fgColor rgb="FFE88B2C"/>
      </x:patternFill>
    </x:fill>
  </x:fills>
  <x:borders count="62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1F7A78"/>
      </x:left>
      <x:top style="thin">
        <x:color rgb="FF1F7A78"/>
      </x:top>
      <x:bottom style="thin">
        <x:color rgb="FF1F7A78"/>
      </x:bottom>
    </x:border>
    <x:border>
      <x:top style="thin">
        <x:color rgb="FF1F7A78"/>
      </x:top>
      <x:bottom style="thin">
        <x:color rgb="FF1F7A78"/>
      </x:bottom>
    </x:border>
    <x:border>
      <x:right style="thin">
        <x:color rgb="FF1F7A78"/>
      </x:right>
      <x:top style="thin">
        <x:color rgb="FF1F7A78"/>
      </x:top>
      <x:bottom style="thin">
        <x:color rgb="FF1F7A78"/>
      </x:bottom>
    </x:border>
    <x:border>
      <x:left style="medium">
        <x:color rgb="FF2F6B9A"/>
      </x:left>
      <x:top style="medium">
        <x:color rgb="FF2F6B9A"/>
      </x:top>
    </x:border>
    <x:border>
      <x:top style="medium">
        <x:color rgb="FF2F6B9A"/>
      </x:top>
    </x:border>
    <x:border>
      <x:right style="medium">
        <x:color rgb="FF2F6B9A"/>
      </x:right>
      <x:top style="medium">
        <x:color rgb="FF2F6B9A"/>
      </x:top>
    </x:border>
    <x:border>
      <x:left style="medium">
        <x:color rgb="FF2F6B9A"/>
      </x:left>
    </x:border>
    <x:border>
      <x:right style="medium">
        <x:color rgb="FF2F6B9A"/>
      </x:right>
    </x:border>
    <x:border>
      <x:left style="medium">
        <x:color rgb="FF2F6B9A"/>
      </x:left>
      <x:bottom style="medium">
        <x:color rgb="FF2F6B9A"/>
      </x:bottom>
    </x:border>
    <x:border>
      <x:bottom style="medium">
        <x:color rgb="FF2F6B9A"/>
      </x:bottom>
    </x:border>
    <x:border>
      <x:right style="medium">
        <x:color rgb="FF2F6B9A"/>
      </x:right>
      <x:bottom style="medium">
        <x:color rgb="FF2F6B9A"/>
      </x:bottom>
    </x:border>
    <x:border>
      <x:left style="medium">
        <x:color rgb="FF1F7A78"/>
      </x:left>
      <x:top style="medium">
        <x:color rgb="FF1F7A78"/>
      </x:top>
    </x:border>
    <x:border>
      <x:top style="medium">
        <x:color rgb="FF1F7A78"/>
      </x:top>
    </x:border>
    <x:border>
      <x:right style="medium">
        <x:color rgb="FF1F7A78"/>
      </x:right>
      <x:top style="medium">
        <x:color rgb="FF1F7A78"/>
      </x:top>
    </x:border>
    <x:border>
      <x:left style="medium">
        <x:color rgb="FF1F7A78"/>
      </x:left>
    </x:border>
    <x:border>
      <x:right style="medium">
        <x:color rgb="FF1F7A78"/>
      </x:right>
    </x:border>
    <x:border>
      <x:left style="medium">
        <x:color rgb="FF1F7A78"/>
      </x:left>
      <x:bottom style="medium">
        <x:color rgb="FF1F7A78"/>
      </x:bottom>
    </x:border>
    <x:border>
      <x:bottom style="medium">
        <x:color rgb="FF1F7A78"/>
      </x:bottom>
    </x:border>
    <x:border>
      <x:right style="medium">
        <x:color rgb="FF1F7A78"/>
      </x:right>
      <x:bottom style="medium">
        <x:color rgb="FF1F7A78"/>
      </x:bottom>
    </x:border>
    <x:border>
      <x:left style="medium">
        <x:color rgb="FFE88B2C"/>
      </x:left>
      <x:top style="medium">
        <x:color rgb="FFE88B2C"/>
      </x:top>
    </x:border>
    <x:border>
      <x:top style="medium">
        <x:color rgb="FFE88B2C"/>
      </x:top>
    </x:border>
    <x:border>
      <x:right style="medium">
        <x:color rgb="FFE88B2C"/>
      </x:right>
      <x:top style="medium">
        <x:color rgb="FFE88B2C"/>
      </x:top>
    </x:border>
    <x:border>
      <x:left style="medium">
        <x:color rgb="FFE88B2C"/>
      </x:left>
    </x:border>
    <x:border>
      <x:right style="medium">
        <x:color rgb="FFE88B2C"/>
      </x:right>
    </x:border>
    <x:border>
      <x:left style="medium">
        <x:color rgb="FFE88B2C"/>
      </x:left>
      <x:bottom style="medium">
        <x:color rgb="FFE88B2C"/>
      </x:bottom>
    </x:border>
    <x:border>
      <x:bottom style="medium">
        <x:color rgb="FFE88B2C"/>
      </x:bottom>
    </x:border>
    <x:border>
      <x:right style="medium">
        <x:color rgb="FFE88B2C"/>
      </x:right>
      <x:bottom style="medium">
        <x:color rgb="FFE88B2C"/>
      </x:bottom>
    </x:border>
    <x:border>
      <x:left style="medium">
        <x:color rgb="FF2E7D5A"/>
      </x:left>
      <x:top style="medium">
        <x:color rgb="FF2E7D5A"/>
      </x:top>
    </x:border>
    <x:border>
      <x:top style="medium">
        <x:color rgb="FF2E7D5A"/>
      </x:top>
    </x:border>
    <x:border>
      <x:right style="medium">
        <x:color rgb="FF2E7D5A"/>
      </x:right>
      <x:top style="medium">
        <x:color rgb="FF2E7D5A"/>
      </x:top>
    </x:border>
    <x:border>
      <x:left style="medium">
        <x:color rgb="FF2E7D5A"/>
      </x:left>
    </x:border>
    <x:border>
      <x:right style="medium">
        <x:color rgb="FF2E7D5A"/>
      </x:right>
    </x:border>
    <x:border>
      <x:left style="medium">
        <x:color rgb="FF2E7D5A"/>
      </x:left>
      <x:bottom style="medium">
        <x:color rgb="FF2E7D5A"/>
      </x:bottom>
    </x:border>
    <x:border>
      <x:bottom style="medium">
        <x:color rgb="FF2E7D5A"/>
      </x:bottom>
    </x:border>
    <x:border>
      <x:right style="medium">
        <x:color rgb="FF2E7D5A"/>
      </x:right>
      <x:bottom style="medium">
        <x:color rgb="FF2E7D5A"/>
      </x:bottom>
    </x:border>
    <x:border>
      <x:left style="thin">
        <x:color rgb="FFCFD8E1"/>
      </x:left>
      <x:right style="thin">
        <x:color rgb="FFCFD8E1"/>
      </x:right>
      <x:top style="thin">
        <x:color rgb="FFCFD8E1"/>
      </x:top>
      <x:bottom style="thin">
        <x:color rgb="FFCFD8E1"/>
      </x:bottom>
    </x:border>
    <x:border>
      <x:left style="medium">
        <x:color rgb="FF234A68"/>
      </x:left>
      <x:top style="medium">
        <x:color rgb="FF234A68"/>
      </x:top>
    </x:border>
    <x:border>
      <x:top style="medium">
        <x:color rgb="FF234A68"/>
      </x:top>
    </x:border>
    <x:border>
      <x:right style="medium">
        <x:color rgb="FF234A68"/>
      </x:right>
      <x:top style="medium">
        <x:color rgb="FF234A68"/>
      </x:top>
    </x:border>
    <x:border>
      <x:left style="medium">
        <x:color rgb="FF234A68"/>
      </x:left>
    </x:border>
    <x:border>
      <x:right style="medium">
        <x:color rgb="FF234A68"/>
      </x:right>
    </x:border>
    <x:border>
      <x:left style="medium">
        <x:color rgb="FF234A68"/>
      </x:left>
      <x:bottom style="medium">
        <x:color rgb="FF234A68"/>
      </x:bottom>
    </x:border>
    <x:border>
      <x:bottom style="medium">
        <x:color rgb="FF234A68"/>
      </x:bottom>
    </x:border>
    <x:border>
      <x:right style="medium">
        <x:color rgb="FF234A68"/>
      </x:right>
      <x:bottom style="medium">
        <x:color rgb="FF234A68"/>
      </x:bottom>
    </x:border>
    <x:border>
      <x:left style="thin">
        <x:color rgb="FF2F6B9A"/>
      </x:left>
      <x:top style="thin">
        <x:color rgb="FF2F6B9A"/>
      </x:top>
      <x:bottom style="thin">
        <x:color rgb="FF2F6B9A"/>
      </x:bottom>
    </x:border>
    <x:border>
      <x:top style="thin">
        <x:color rgb="FF2F6B9A"/>
      </x:top>
      <x:bottom style="thin">
        <x:color rgb="FF2F6B9A"/>
      </x:bottom>
    </x:border>
    <x:border>
      <x:right style="thin">
        <x:color rgb="FF2F6B9A"/>
      </x:right>
      <x:top style="thin">
        <x:color rgb="FF2F6B9A"/>
      </x:top>
      <x:bottom style="thin">
        <x:color rgb="FF2F6B9A"/>
      </x:bottom>
    </x:border>
    <x:border>
      <x:left style="thin">
        <x:color rgb="FFE88B2C"/>
      </x:left>
      <x:top style="thin">
        <x:color rgb="FFE88B2C"/>
      </x:top>
      <x:bottom style="thin">
        <x:color rgb="FFE88B2C"/>
      </x:bottom>
    </x:border>
    <x:border>
      <x:top style="thin">
        <x:color rgb="FFE88B2C"/>
      </x:top>
      <x:bottom style="thin">
        <x:color rgb="FFE88B2C"/>
      </x:bottom>
    </x:border>
    <x:border>
      <x:right style="thin">
        <x:color rgb="FFE88B2C"/>
      </x:right>
      <x:top style="thin">
        <x:color rgb="FFE88B2C"/>
      </x:top>
      <x:bottom style="thin">
        <x:color rgb="FFE88B2C"/>
      </x:bottom>
    </x:border>
    <x:border>
      <x:left style="thin">
        <x:color rgb="FF2E7D5A"/>
      </x:left>
      <x:top style="thin">
        <x:color rgb="FF2E7D5A"/>
      </x:top>
      <x:bottom style="thin">
        <x:color rgb="FF2E7D5A"/>
      </x:bottom>
    </x:border>
    <x:border>
      <x:top style="thin">
        <x:color rgb="FF2E7D5A"/>
      </x:top>
      <x:bottom style="thin">
        <x:color rgb="FF2E7D5A"/>
      </x:bottom>
    </x:border>
    <x:border>
      <x:right style="thin">
        <x:color rgb="FF2E7D5A"/>
      </x:right>
      <x:top style="thin">
        <x:color rgb="FF2E7D5A"/>
      </x:top>
      <x:bottom style="thin">
        <x:color rgb="FF2E7D5A"/>
      </x:bottom>
    </x:border>
  </x:borders>
  <x:cellStyleXfs count="1">
    <x:xf numFmtId="0" fontId="0" fillId="0" borderId="0"/>
  </x:cellStyleXfs>
  <x:cellXfs count="58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6" xfId="0" applyNumberFormat="1" applyFont="1" applyFill="1" applyBorder="1" applyAlignment="1">
      <x:alignment vertical="center"/>
    </x:xf>
    <x:xf numFmtId="0" fontId="2" fillId="2" borderId="7" xfId="0" applyNumberFormat="1" applyFont="1" applyFill="1" applyBorder="1" applyAlignment="1">
      <x:alignment vertical="center"/>
    </x:xf>
    <x:xf numFmtId="0" fontId="2" fillId="2" borderId="8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2" fillId="2" borderId="2" xfId="0" applyNumberFormat="1" applyFont="1" applyFill="1" applyBorder="1" applyAlignment="1">
      <x:alignment horizontal="left" vertical="center" wrapText="1"/>
    </x:xf>
    <x:xf numFmtId="0" fontId="2" fillId="2" borderId="3" xfId="0" applyNumberFormat="1" applyFont="1" applyFill="1" applyBorder="1" applyAlignment="1">
      <x:alignment horizontal="left" vertical="center" wrapText="1"/>
    </x:xf>
    <x:xf numFmtId="0" fontId="2" fillId="2" borderId="4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5" xfId="0" applyNumberFormat="1" applyFont="1" applyFill="1" applyBorder="1" applyAlignment="1">
      <x:alignment horizontal="left" vertical="center" wrapText="1"/>
    </x:xf>
    <x:xf numFmtId="0" fontId="2" fillId="2" borderId="6" xfId="0" applyNumberFormat="1" applyFont="1" applyFill="1" applyBorder="1" applyAlignment="1">
      <x:alignment horizontal="left" vertical="center" wrapText="1"/>
    </x:xf>
    <x:xf numFmtId="0" fontId="2" fillId="2" borderId="7" xfId="0" applyNumberFormat="1" applyFont="1" applyFill="1" applyBorder="1" applyAlignment="1">
      <x:alignment horizontal="left" vertical="center" wrapText="1"/>
    </x:xf>
    <x:xf numFmtId="0" fontId="2" fillId="2" borderId="8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9" xfId="0" applyNumberFormat="1" applyFont="1" applyFill="1" applyBorder="1" applyAlignment="1">
      <x:alignment vertical="center"/>
    </x:xf>
    <x:xf numFmtId="0" fontId="4" fillId="4" borderId="10" xfId="0" applyNumberFormat="1" applyFont="1" applyFill="1" applyBorder="1" applyAlignment="1">
      <x:alignment vertical="center"/>
    </x:xf>
    <x:xf numFmtId="0" fontId="4" fillId="4" borderId="11" xfId="0" applyNumberFormat="1" applyFont="1" applyFill="1" applyBorder="1" applyAlignment="1">
      <x:alignment vertical="center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vertical="center" wrapText="1"/>
    </x:xf>
    <x:xf numFmtId="0" fontId="4" fillId="4" borderId="11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horizontal="left" vertical="center" wrapText="1"/>
    </x:xf>
    <x:xf numFmtId="0" fontId="4" fillId="4" borderId="10" xfId="0" applyNumberFormat="1" applyFont="1" applyFill="1" applyBorder="1" applyAlignment="1">
      <x:alignment horizontal="left" vertical="center" wrapText="1"/>
    </x:xf>
    <x:xf numFmtId="0" fontId="4" fillId="4" borderId="11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12" xfId="0" applyNumberFormat="1" applyFont="1" applyFill="1" applyBorder="1" applyAlignment="1">
      <x:alignment vertical="center"/>
    </x:xf>
    <x:xf numFmtId="0" fontId="5" fillId="5" borderId="13" xfId="0" applyNumberFormat="1" applyFont="1" applyFill="1" applyBorder="1" applyAlignment="1">
      <x:alignment vertical="center"/>
    </x:xf>
    <x:xf numFmtId="0" fontId="5" fillId="5" borderId="14" xfId="0" applyNumberFormat="1" applyFont="1" applyFill="1" applyBorder="1" applyAlignment="1">
      <x:alignment vertical="center"/>
    </x:xf>
    <x:xf numFmtId="0" fontId="5" fillId="5" borderId="15" xfId="0" applyNumberFormat="1" applyFont="1" applyFill="1" applyBorder="1" applyAlignment="1">
      <x:alignment vertical="center"/>
    </x:xf>
    <x:xf numFmtId="0" fontId="5" fillId="5" borderId="16" xfId="0" applyNumberFormat="1" applyFont="1" applyFill="1" applyBorder="1" applyAlignment="1">
      <x:alignment vertical="center"/>
    </x:xf>
    <x:xf numFmtId="0" fontId="5" fillId="5" borderId="17" xfId="0" applyNumberFormat="1" applyFont="1" applyFill="1" applyBorder="1" applyAlignment="1">
      <x:alignment vertical="center"/>
    </x:xf>
    <x:xf numFmtId="0" fontId="5" fillId="5" borderId="18" xfId="0" applyNumberFormat="1" applyFont="1" applyFill="1" applyBorder="1" applyAlignment="1">
      <x:alignment vertical="center"/>
    </x:xf>
    <x:xf numFmtId="0" fontId="5" fillId="5" borderId="19" xfId="0" applyNumberFormat="1" applyFont="1" applyFill="1" applyBorder="1" applyAlignment="1">
      <x:alignment vertical="center"/>
    </x:xf>
    <x:xf numFmtId="0" fontId="5" fillId="5" borderId="12" xfId="0" applyNumberFormat="1" applyFont="1" applyFill="1" applyBorder="1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5" fillId="5" borderId="15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6" xfId="0" applyNumberFormat="1" applyFont="1" applyFill="1" applyBorder="1" applyAlignment="1">
      <x:alignment vertical="center" wrapText="1"/>
    </x:xf>
    <x:xf numFmtId="0" fontId="5" fillId="5" borderId="17" xfId="0" applyNumberFormat="1" applyFont="1" applyFill="1" applyBorder="1" applyAlignment="1">
      <x:alignment vertical="center" wrapText="1"/>
    </x:xf>
    <x:xf numFmtId="0" fontId="5" fillId="5" borderId="18" xfId="0" applyNumberFormat="1" applyFont="1" applyFill="1" applyBorder="1" applyAlignment="1">
      <x:alignment vertical="center" wrapText="1"/>
    </x:xf>
    <x:xf numFmtId="0" fontId="5" fillId="5" borderId="19" xfId="0" applyNumberFormat="1" applyFont="1" applyFill="1" applyBorder="1" applyAlignment="1">
      <x:alignment vertical="center" wrapText="1"/>
    </x:xf>
    <x:xf numFmtId="0" fontId="5" fillId="5" borderId="12" xfId="0" applyNumberFormat="1" applyFont="1" applyFill="1" applyBorder="1" applyAlignment="1">
      <x:alignment horizontal="center" vertical="center" wrapText="1"/>
    </x:xf>
    <x:xf numFmtId="0" fontId="5" fillId="5" borderId="13" xfId="0" applyNumberFormat="1" applyFont="1" applyFill="1" applyBorder="1" applyAlignment="1">
      <x:alignment horizontal="center" vertical="center" wrapText="1"/>
    </x:xf>
    <x:xf numFmtId="0" fontId="5" fillId="5" borderId="14" xfId="0" applyNumberFormat="1" applyFont="1" applyFill="1" applyBorder="1" applyAlignment="1">
      <x:alignment horizontal="center" vertical="center" wrapText="1"/>
    </x:xf>
    <x:xf numFmtId="0" fontId="5" fillId="5" borderId="15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16" xfId="0" applyNumberFormat="1" applyFont="1" applyFill="1" applyBorder="1" applyAlignment="1">
      <x:alignment horizontal="center" vertical="center" wrapText="1"/>
    </x:xf>
    <x:xf numFmtId="0" fontId="5" fillId="5" borderId="17" xfId="0" applyNumberFormat="1" applyFont="1" applyFill="1" applyBorder="1" applyAlignment="1">
      <x:alignment horizontal="center" vertical="center" wrapText="1"/>
    </x:xf>
    <x:xf numFmtId="0" fontId="5" fillId="5" borderId="18" xfId="0" applyNumberFormat="1" applyFont="1" applyFill="1" applyBorder="1" applyAlignment="1">
      <x:alignment horizontal="center" vertical="center" wrapText="1"/>
    </x:xf>
    <x:xf numFmtId="0" fontId="5" fillId="5" borderId="19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20" xfId="0" applyNumberFormat="1" applyFont="1" applyFill="1" applyBorder="1" applyAlignment="1">
      <x:alignment vertical="center"/>
    </x:xf>
    <x:xf numFmtId="0" fontId="5" fillId="6" borderId="21" xfId="0" applyNumberFormat="1" applyFont="1" applyFill="1" applyBorder="1" applyAlignment="1">
      <x:alignment vertical="center"/>
    </x:xf>
    <x:xf numFmtId="0" fontId="5" fillId="6" borderId="22" xfId="0" applyNumberFormat="1" applyFont="1" applyFill="1" applyBorder="1" applyAlignment="1">
      <x:alignment vertical="center"/>
    </x:xf>
    <x:xf numFmtId="0" fontId="5" fillId="6" borderId="23" xfId="0" applyNumberFormat="1" applyFont="1" applyFill="1" applyBorder="1" applyAlignment="1">
      <x:alignment vertical="center"/>
    </x:xf>
    <x:xf numFmtId="0" fontId="5" fillId="6" borderId="24" xfId="0" applyNumberFormat="1" applyFont="1" applyFill="1" applyBorder="1" applyAlignment="1">
      <x:alignment vertical="center"/>
    </x:xf>
    <x:xf numFmtId="0" fontId="5" fillId="6" borderId="25" xfId="0" applyNumberFormat="1" applyFont="1" applyFill="1" applyBorder="1" applyAlignment="1">
      <x:alignment vertical="center"/>
    </x:xf>
    <x:xf numFmtId="0" fontId="5" fillId="6" borderId="26" xfId="0" applyNumberFormat="1" applyFont="1" applyFill="1" applyBorder="1" applyAlignment="1">
      <x:alignment vertical="center"/>
    </x:xf>
    <x:xf numFmtId="0" fontId="5" fillId="6" borderId="27" xfId="0" applyNumberFormat="1" applyFont="1" applyFill="1" applyBorder="1" applyAlignment="1">
      <x:alignment vertical="center"/>
    </x:xf>
    <x:xf numFmtId="0" fontId="5" fillId="6" borderId="20" xfId="0" applyNumberFormat="1" applyFont="1" applyFill="1" applyBorder="1" applyAlignment="1">
      <x:alignment vertical="center" wrapText="1"/>
    </x:xf>
    <x:xf numFmtId="0" fontId="5" fillId="6" borderId="21" xfId="0" applyNumberFormat="1" applyFont="1" applyFill="1" applyBorder="1" applyAlignment="1">
      <x:alignment vertical="center" wrapText="1"/>
    </x:xf>
    <x:xf numFmtId="0" fontId="5" fillId="6" borderId="22" xfId="0" applyNumberFormat="1" applyFont="1" applyFill="1" applyBorder="1" applyAlignment="1">
      <x:alignment vertical="center" wrapText="1"/>
    </x:xf>
    <x:xf numFmtId="0" fontId="5" fillId="6" borderId="23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24" xfId="0" applyNumberFormat="1" applyFont="1" applyFill="1" applyBorder="1" applyAlignment="1">
      <x:alignment vertical="center" wrapText="1"/>
    </x:xf>
    <x:xf numFmtId="0" fontId="5" fillId="6" borderId="25" xfId="0" applyNumberFormat="1" applyFont="1" applyFill="1" applyBorder="1" applyAlignment="1">
      <x:alignment vertical="center" wrapText="1"/>
    </x:xf>
    <x:xf numFmtId="0" fontId="5" fillId="6" borderId="26" xfId="0" applyNumberFormat="1" applyFont="1" applyFill="1" applyBorder="1" applyAlignment="1">
      <x:alignment vertical="center" wrapText="1"/>
    </x:xf>
    <x:xf numFmtId="0" fontId="5" fillId="6" borderId="27" xfId="0" applyNumberFormat="1" applyFont="1" applyFill="1" applyBorder="1" applyAlignment="1">
      <x:alignment vertical="center" wrapText="1"/>
    </x:xf>
    <x:xf numFmtId="0" fontId="5" fillId="6" borderId="20" xfId="0" applyNumberFormat="1" applyFont="1" applyFill="1" applyBorder="1" applyAlignment="1">
      <x:alignment horizontal="center" vertical="center" wrapText="1"/>
    </x:xf>
    <x:xf numFmtId="0" fontId="5" fillId="6" borderId="21" xfId="0" applyNumberFormat="1" applyFont="1" applyFill="1" applyBorder="1" applyAlignment="1">
      <x:alignment horizontal="center" vertical="center" wrapText="1"/>
    </x:xf>
    <x:xf numFmtId="0" fontId="5" fillId="6" borderId="22" xfId="0" applyNumberFormat="1" applyFont="1" applyFill="1" applyBorder="1" applyAlignment="1">
      <x:alignment horizontal="center" vertical="center" wrapText="1"/>
    </x:xf>
    <x:xf numFmtId="0" fontId="5" fillId="6" borderId="23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24" xfId="0" applyNumberFormat="1" applyFont="1" applyFill="1" applyBorder="1" applyAlignment="1">
      <x:alignment horizontal="center" vertical="center" wrapText="1"/>
    </x:xf>
    <x:xf numFmtId="0" fontId="5" fillId="6" borderId="25" xfId="0" applyNumberFormat="1" applyFont="1" applyFill="1" applyBorder="1" applyAlignment="1">
      <x:alignment horizontal="center" vertical="center" wrapText="1"/>
    </x:xf>
    <x:xf numFmtId="0" fontId="5" fillId="6" borderId="26" xfId="0" applyNumberFormat="1" applyFont="1" applyFill="1" applyBorder="1" applyAlignment="1">
      <x:alignment horizontal="center" vertical="center" wrapText="1"/>
    </x:xf>
    <x:xf numFmtId="0" fontId="5" fillId="6" borderId="27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5" fillId="7" borderId="28" xfId="0" applyNumberFormat="1" applyFont="1" applyFill="1" applyBorder="1" applyAlignment="1">
      <x:alignment vertical="center"/>
    </x:xf>
    <x:xf numFmtId="0" fontId="5" fillId="7" borderId="29" xfId="0" applyNumberFormat="1" applyFont="1" applyFill="1" applyBorder="1" applyAlignment="1">
      <x:alignment vertical="center"/>
    </x:xf>
    <x:xf numFmtId="0" fontId="5" fillId="7" borderId="30" xfId="0" applyNumberFormat="1" applyFont="1" applyFill="1" applyBorder="1" applyAlignment="1">
      <x:alignment vertical="center"/>
    </x:xf>
    <x:xf numFmtId="0" fontId="5" fillId="7" borderId="31" xfId="0" applyNumberFormat="1" applyFont="1" applyFill="1" applyBorder="1" applyAlignment="1">
      <x:alignment vertical="center"/>
    </x:xf>
    <x:xf numFmtId="0" fontId="5" fillId="7" borderId="32" xfId="0" applyNumberFormat="1" applyFont="1" applyFill="1" applyBorder="1" applyAlignment="1">
      <x:alignment vertical="center"/>
    </x:xf>
    <x:xf numFmtId="0" fontId="5" fillId="7" borderId="33" xfId="0" applyNumberFormat="1" applyFont="1" applyFill="1" applyBorder="1" applyAlignment="1">
      <x:alignment vertical="center"/>
    </x:xf>
    <x:xf numFmtId="0" fontId="5" fillId="7" borderId="34" xfId="0" applyNumberFormat="1" applyFont="1" applyFill="1" applyBorder="1" applyAlignment="1">
      <x:alignment vertical="center"/>
    </x:xf>
    <x:xf numFmtId="0" fontId="5" fillId="7" borderId="35" xfId="0" applyNumberFormat="1" applyFont="1" applyFill="1" applyBorder="1" applyAlignment="1">
      <x:alignment vertical="center"/>
    </x:xf>
    <x:xf numFmtId="0" fontId="5" fillId="7" borderId="28" xfId="0" applyNumberFormat="1" applyFont="1" applyFill="1" applyBorder="1" applyAlignment="1">
      <x:alignment vertical="center" wrapText="1"/>
    </x:xf>
    <x:xf numFmtId="0" fontId="5" fillId="7" borderId="29" xfId="0" applyNumberFormat="1" applyFont="1" applyFill="1" applyBorder="1" applyAlignment="1">
      <x:alignment vertical="center" wrapText="1"/>
    </x:xf>
    <x:xf numFmtId="0" fontId="5" fillId="7" borderId="30" xfId="0" applyNumberFormat="1" applyFont="1" applyFill="1" applyBorder="1" applyAlignment="1">
      <x:alignment vertical="center" wrapText="1"/>
    </x:xf>
    <x:xf numFmtId="0" fontId="5" fillId="7" borderId="31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32" xfId="0" applyNumberFormat="1" applyFont="1" applyFill="1" applyBorder="1" applyAlignment="1">
      <x:alignment vertical="center" wrapText="1"/>
    </x:xf>
    <x:xf numFmtId="0" fontId="5" fillId="7" borderId="33" xfId="0" applyNumberFormat="1" applyFont="1" applyFill="1" applyBorder="1" applyAlignment="1">
      <x:alignment vertical="center" wrapText="1"/>
    </x:xf>
    <x:xf numFmtId="0" fontId="5" fillId="7" borderId="34" xfId="0" applyNumberFormat="1" applyFont="1" applyFill="1" applyBorder="1" applyAlignment="1">
      <x:alignment vertical="center" wrapText="1"/>
    </x:xf>
    <x:xf numFmtId="0" fontId="5" fillId="7" borderId="35" xfId="0" applyNumberFormat="1" applyFont="1" applyFill="1" applyBorder="1" applyAlignment="1">
      <x:alignment vertical="center" wrapText="1"/>
    </x:xf>
    <x:xf numFmtId="0" fontId="5" fillId="7" borderId="28" xfId="0" applyNumberFormat="1" applyFont="1" applyFill="1" applyBorder="1" applyAlignment="1">
      <x:alignment horizontal="center" vertical="center" wrapText="1"/>
    </x:xf>
    <x:xf numFmtId="0" fontId="5" fillId="7" borderId="29" xfId="0" applyNumberFormat="1" applyFont="1" applyFill="1" applyBorder="1" applyAlignment="1">
      <x:alignment horizontal="center" vertical="center" wrapText="1"/>
    </x:xf>
    <x:xf numFmtId="0" fontId="5" fillId="7" borderId="30" xfId="0" applyNumberFormat="1" applyFont="1" applyFill="1" applyBorder="1" applyAlignment="1">
      <x:alignment horizontal="center" vertical="center" wrapText="1"/>
    </x:xf>
    <x:xf numFmtId="0" fontId="5" fillId="7" borderId="31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5" fillId="7" borderId="32" xfId="0" applyNumberFormat="1" applyFont="1" applyFill="1" applyBorder="1" applyAlignment="1">
      <x:alignment horizontal="center" vertical="center" wrapText="1"/>
    </x:xf>
    <x:xf numFmtId="0" fontId="5" fillId="7" borderId="33" xfId="0" applyNumberFormat="1" applyFont="1" applyFill="1" applyBorder="1" applyAlignment="1">
      <x:alignment horizontal="center" vertical="center" wrapText="1"/>
    </x:xf>
    <x:xf numFmtId="0" fontId="5" fillId="7" borderId="34" xfId="0" applyNumberFormat="1" applyFont="1" applyFill="1" applyBorder="1" applyAlignment="1">
      <x:alignment horizontal="center" vertical="center" wrapText="1"/>
    </x:xf>
    <x:xf numFmtId="0" fontId="5" fillId="7" borderId="35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36" xfId="0" applyNumberFormat="1" applyFont="1" applyFill="1" applyBorder="1" applyAlignment="1">
      <x:alignment vertical="center"/>
    </x:xf>
    <x:xf numFmtId="0" fontId="5" fillId="8" borderId="37" xfId="0" applyNumberFormat="1" applyFont="1" applyFill="1" applyBorder="1" applyAlignment="1">
      <x:alignment vertical="center"/>
    </x:xf>
    <x:xf numFmtId="0" fontId="5" fillId="8" borderId="38" xfId="0" applyNumberFormat="1" applyFont="1" applyFill="1" applyBorder="1" applyAlignment="1">
      <x:alignment vertical="center"/>
    </x:xf>
    <x:xf numFmtId="0" fontId="5" fillId="8" borderId="39" xfId="0" applyNumberFormat="1" applyFont="1" applyFill="1" applyBorder="1" applyAlignment="1">
      <x:alignment vertical="center"/>
    </x:xf>
    <x:xf numFmtId="0" fontId="5" fillId="8" borderId="40" xfId="0" applyNumberFormat="1" applyFont="1" applyFill="1" applyBorder="1" applyAlignment="1">
      <x:alignment vertical="center"/>
    </x:xf>
    <x:xf numFmtId="0" fontId="5" fillId="8" borderId="41" xfId="0" applyNumberFormat="1" applyFont="1" applyFill="1" applyBorder="1" applyAlignment="1">
      <x:alignment vertical="center"/>
    </x:xf>
    <x:xf numFmtId="0" fontId="5" fillId="8" borderId="42" xfId="0" applyNumberFormat="1" applyFont="1" applyFill="1" applyBorder="1" applyAlignment="1">
      <x:alignment vertical="center"/>
    </x:xf>
    <x:xf numFmtId="0" fontId="5" fillId="8" borderId="43" xfId="0" applyNumberFormat="1" applyFont="1" applyFill="1" applyBorder="1" applyAlignment="1">
      <x:alignment vertical="center"/>
    </x:xf>
    <x:xf numFmtId="0" fontId="5" fillId="8" borderId="36" xfId="0" applyNumberFormat="1" applyFont="1" applyFill="1" applyBorder="1" applyAlignment="1">
      <x:alignment vertical="center" wrapText="1"/>
    </x:xf>
    <x:xf numFmtId="0" fontId="5" fillId="8" borderId="37" xfId="0" applyNumberFormat="1" applyFont="1" applyFill="1" applyBorder="1" applyAlignment="1">
      <x:alignment vertical="center" wrapText="1"/>
    </x:xf>
    <x:xf numFmtId="0" fontId="5" fillId="8" borderId="38" xfId="0" applyNumberFormat="1" applyFont="1" applyFill="1" applyBorder="1" applyAlignment="1">
      <x:alignment vertical="center" wrapText="1"/>
    </x:xf>
    <x:xf numFmtId="0" fontId="5" fillId="8" borderId="39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40" xfId="0" applyNumberFormat="1" applyFont="1" applyFill="1" applyBorder="1" applyAlignment="1">
      <x:alignment vertical="center" wrapText="1"/>
    </x:xf>
    <x:xf numFmtId="0" fontId="5" fillId="8" borderId="41" xfId="0" applyNumberFormat="1" applyFont="1" applyFill="1" applyBorder="1" applyAlignment="1">
      <x:alignment vertical="center" wrapText="1"/>
    </x:xf>
    <x:xf numFmtId="0" fontId="5" fillId="8" borderId="42" xfId="0" applyNumberFormat="1" applyFont="1" applyFill="1" applyBorder="1" applyAlignment="1">
      <x:alignment vertical="center" wrapText="1"/>
    </x:xf>
    <x:xf numFmtId="0" fontId="5" fillId="8" borderId="43" xfId="0" applyNumberFormat="1" applyFont="1" applyFill="1" applyBorder="1" applyAlignment="1">
      <x:alignment vertical="center" wrapText="1"/>
    </x:xf>
    <x:xf numFmtId="0" fontId="5" fillId="8" borderId="36" xfId="0" applyNumberFormat="1" applyFont="1" applyFill="1" applyBorder="1" applyAlignment="1">
      <x:alignment horizontal="center" vertical="center" wrapText="1"/>
    </x:xf>
    <x:xf numFmtId="0" fontId="5" fillId="8" borderId="37" xfId="0" applyNumberFormat="1" applyFont="1" applyFill="1" applyBorder="1" applyAlignment="1">
      <x:alignment horizontal="center" vertical="center" wrapText="1"/>
    </x:xf>
    <x:xf numFmtId="0" fontId="5" fillId="8" borderId="38" xfId="0" applyNumberFormat="1" applyFont="1" applyFill="1" applyBorder="1" applyAlignment="1">
      <x:alignment horizontal="center" vertical="center" wrapText="1"/>
    </x:xf>
    <x:xf numFmtId="0" fontId="5" fillId="8" borderId="39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5" fillId="8" borderId="40" xfId="0" applyNumberFormat="1" applyFont="1" applyFill="1" applyBorder="1" applyAlignment="1">
      <x:alignment horizontal="center" vertical="center" wrapText="1"/>
    </x:xf>
    <x:xf numFmtId="0" fontId="5" fillId="8" borderId="41" xfId="0" applyNumberFormat="1" applyFont="1" applyFill="1" applyBorder="1" applyAlignment="1">
      <x:alignment horizontal="center" vertical="center" wrapText="1"/>
    </x:xf>
    <x:xf numFmtId="0" fontId="5" fillId="8" borderId="42" xfId="0" applyNumberFormat="1" applyFont="1" applyFill="1" applyBorder="1" applyAlignment="1">
      <x:alignment horizontal="center" vertical="center" wrapText="1"/>
    </x:xf>
    <x:xf numFmtId="0" fontId="5" fillId="8" borderId="43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36" xfId="0" applyNumberFormat="1" applyFont="1" applyFill="1" applyBorder="1" applyAlignment="1">
      <x:alignment vertical="center"/>
    </x:xf>
    <x:xf numFmtId="0" fontId="6" fillId="9" borderId="37" xfId="0" applyNumberFormat="1" applyFont="1" applyFill="1" applyBorder="1" applyAlignment="1">
      <x:alignment vertical="center"/>
    </x:xf>
    <x:xf numFmtId="0" fontId="6" fillId="9" borderId="38" xfId="0" applyNumberFormat="1" applyFont="1" applyFill="1" applyBorder="1" applyAlignment="1">
      <x:alignment vertical="center"/>
    </x:xf>
    <x:xf numFmtId="0" fontId="6" fillId="9" borderId="41" xfId="0" applyNumberFormat="1" applyFont="1" applyFill="1" applyBorder="1" applyAlignment="1">
      <x:alignment vertical="center"/>
    </x:xf>
    <x:xf numFmtId="0" fontId="6" fillId="9" borderId="42" xfId="0" applyNumberFormat="1" applyFont="1" applyFill="1" applyBorder="1" applyAlignment="1">
      <x:alignment vertical="center"/>
    </x:xf>
    <x:xf numFmtId="0" fontId="6" fillId="9" borderId="43" xfId="0" applyNumberFormat="1" applyFont="1" applyFill="1" applyBorder="1" applyAlignment="1">
      <x:alignment vertical="center"/>
    </x:xf>
    <x:xf numFmtId="0" fontId="6" fillId="9" borderId="36" xfId="0" applyNumberFormat="1" applyFont="1" applyFill="1" applyBorder="1" applyAlignment="1">
      <x:alignment vertical="center" wrapText="1"/>
    </x:xf>
    <x:xf numFmtId="0" fontId="6" fillId="9" borderId="37" xfId="0" applyNumberFormat="1" applyFont="1" applyFill="1" applyBorder="1" applyAlignment="1">
      <x:alignment vertical="center" wrapText="1"/>
    </x:xf>
    <x:xf numFmtId="0" fontId="6" fillId="9" borderId="38" xfId="0" applyNumberFormat="1" applyFont="1" applyFill="1" applyBorder="1" applyAlignment="1">
      <x:alignment vertical="center" wrapText="1"/>
    </x:xf>
    <x:xf numFmtId="0" fontId="6" fillId="9" borderId="41" xfId="0" applyNumberFormat="1" applyFont="1" applyFill="1" applyBorder="1" applyAlignment="1">
      <x:alignment vertical="center" wrapText="1"/>
    </x:xf>
    <x:xf numFmtId="0" fontId="6" fillId="9" borderId="42" xfId="0" applyNumberFormat="1" applyFont="1" applyFill="1" applyBorder="1" applyAlignment="1">
      <x:alignment vertical="center" wrapText="1"/>
    </x:xf>
    <x:xf numFmtId="0" fontId="6" fillId="9" borderId="43" xfId="0" applyNumberFormat="1" applyFont="1" applyFill="1" applyBorder="1" applyAlignment="1">
      <x:alignment vertical="center" wrapText="1"/>
    </x:xf>
    <x:xf numFmtId="0" fontId="6" fillId="9" borderId="36" xfId="0" applyNumberFormat="1" applyFont="1" applyFill="1" applyBorder="1" applyAlignment="1">
      <x:alignment horizontal="center" vertical="center" wrapText="1"/>
    </x:xf>
    <x:xf numFmtId="0" fontId="6" fillId="9" borderId="37" xfId="0" applyNumberFormat="1" applyFont="1" applyFill="1" applyBorder="1" applyAlignment="1">
      <x:alignment horizontal="center" vertical="center" wrapText="1"/>
    </x:xf>
    <x:xf numFmtId="0" fontId="6" fillId="9" borderId="38" xfId="0" applyNumberFormat="1" applyFont="1" applyFill="1" applyBorder="1" applyAlignment="1">
      <x:alignment horizontal="center" vertical="center" wrapText="1"/>
    </x:xf>
    <x:xf numFmtId="0" fontId="6" fillId="9" borderId="41" xfId="0" applyNumberFormat="1" applyFont="1" applyFill="1" applyBorder="1" applyAlignment="1">
      <x:alignment horizontal="center" vertical="center" wrapText="1"/>
    </x:xf>
    <x:xf numFmtId="0" fontId="6" fillId="9" borderId="42" xfId="0" applyNumberFormat="1" applyFont="1" applyFill="1" applyBorder="1" applyAlignment="1">
      <x:alignment horizontal="center" vertical="center" wrapText="1"/>
    </x:xf>
    <x:xf numFmtId="0" fontId="6" fillId="9" borderId="43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vertical="center"/>
    </x:xf>
    <x:xf numFmtId="0" fontId="6" fillId="10" borderId="0" xfId="0" applyNumberFormat="1" applyFont="1" applyFill="1" applyBorder="1" applyAlignment="1">
      <x:alignment vertical="center"/>
    </x:xf>
    <x:xf numFmtId="0" fontId="6" fillId="10" borderId="12" xfId="0" applyNumberFormat="1" applyFont="1" applyFill="1" applyBorder="1" applyAlignment="1">
      <x:alignment vertical="center"/>
    </x:xf>
    <x:xf numFmtId="0" fontId="6" fillId="10" borderId="13" xfId="0" applyNumberFormat="1" applyFont="1" applyFill="1" applyBorder="1" applyAlignment="1">
      <x:alignment vertical="center"/>
    </x:xf>
    <x:xf numFmtId="0" fontId="6" fillId="10" borderId="14" xfId="0" applyNumberFormat="1" applyFont="1" applyFill="1" applyBorder="1" applyAlignment="1">
      <x:alignment vertical="center"/>
    </x:xf>
    <x:xf numFmtId="0" fontId="6" fillId="10" borderId="17" xfId="0" applyNumberFormat="1" applyFont="1" applyFill="1" applyBorder="1" applyAlignment="1">
      <x:alignment vertical="center"/>
    </x:xf>
    <x:xf numFmtId="0" fontId="6" fillId="10" borderId="18" xfId="0" applyNumberFormat="1" applyFont="1" applyFill="1" applyBorder="1" applyAlignment="1">
      <x:alignment vertical="center"/>
    </x:xf>
    <x:xf numFmtId="0" fontId="6" fillId="10" borderId="19" xfId="0" applyNumberFormat="1" applyFont="1" applyFill="1" applyBorder="1" applyAlignment="1">
      <x:alignment vertical="center"/>
    </x:xf>
    <x:xf numFmtId="0" fontId="6" fillId="10" borderId="12" xfId="0" applyNumberFormat="1" applyFont="1" applyFill="1" applyBorder="1" applyAlignment="1">
      <x:alignment vertical="center" wrapText="1"/>
    </x:xf>
    <x:xf numFmtId="0" fontId="6" fillId="10" borderId="13" xfId="0" applyNumberFormat="1" applyFont="1" applyFill="1" applyBorder="1" applyAlignment="1">
      <x:alignment vertical="center" wrapText="1"/>
    </x:xf>
    <x:xf numFmtId="0" fontId="6" fillId="10" borderId="14" xfId="0" applyNumberFormat="1" applyFont="1" applyFill="1" applyBorder="1" applyAlignment="1">
      <x:alignment vertical="center" wrapText="1"/>
    </x:xf>
    <x:xf numFmtId="0" fontId="6" fillId="10" borderId="17" xfId="0" applyNumberFormat="1" applyFont="1" applyFill="1" applyBorder="1" applyAlignment="1">
      <x:alignment vertical="center" wrapText="1"/>
    </x:xf>
    <x:xf numFmtId="0" fontId="6" fillId="10" borderId="18" xfId="0" applyNumberFormat="1" applyFont="1" applyFill="1" applyBorder="1" applyAlignment="1">
      <x:alignment vertical="center" wrapText="1"/>
    </x:xf>
    <x:xf numFmtId="0" fontId="6" fillId="10" borderId="19" xfId="0" applyNumberFormat="1" applyFont="1" applyFill="1" applyBorder="1" applyAlignment="1">
      <x:alignment vertical="center" wrapText="1"/>
    </x:xf>
    <x:xf numFmtId="0" fontId="6" fillId="10" borderId="12" xfId="0" applyNumberFormat="1" applyFont="1" applyFill="1" applyBorder="1" applyAlignment="1">
      <x:alignment horizontal="center" vertical="center" wrapText="1"/>
    </x:xf>
    <x:xf numFmtId="0" fontId="6" fillId="10" borderId="13" xfId="0" applyNumberFormat="1" applyFont="1" applyFill="1" applyBorder="1" applyAlignment="1">
      <x:alignment horizontal="center" vertical="center" wrapText="1"/>
    </x:xf>
    <x:xf numFmtId="0" fontId="6" fillId="10" borderId="14" xfId="0" applyNumberFormat="1" applyFont="1" applyFill="1" applyBorder="1" applyAlignment="1">
      <x:alignment horizontal="center" vertical="center" wrapText="1"/>
    </x:xf>
    <x:xf numFmtId="0" fontId="6" fillId="10" borderId="17" xfId="0" applyNumberFormat="1" applyFont="1" applyFill="1" applyBorder="1" applyAlignment="1">
      <x:alignment horizontal="center" vertical="center" wrapText="1"/>
    </x:xf>
    <x:xf numFmtId="0" fontId="6" fillId="10" borderId="18" xfId="0" applyNumberFormat="1" applyFont="1" applyFill="1" applyBorder="1" applyAlignment="1">
      <x:alignment horizontal="center" vertical="center" wrapText="1"/>
    </x:xf>
    <x:xf numFmtId="0" fontId="6" fillId="10" borderId="19" xfId="0" applyNumberFormat="1" applyFont="1" applyFill="1" applyBorder="1" applyAlignment="1">
      <x:alignment horizontal="center" vertical="center" wrapText="1"/>
    </x:xf>
    <x:xf numFmtId="0" fontId="1" fillId="8" borderId="44" xfId="0" applyNumberFormat="1" applyFont="1" applyFill="1" applyBorder="1" applyAlignment="1">
      <x:alignment vertical="center"/>
    </x:xf>
    <x:xf numFmtId="0" fontId="1" fillId="8" borderId="44" xfId="0" applyNumberFormat="1" applyFont="1" applyFill="1" applyBorder="1" applyAlignment="1">
      <x:alignment vertical="center" wrapText="1"/>
    </x:xf>
    <x:xf numFmtId="0" fontId="1" fillId="8" borderId="44" xfId="0" applyNumberFormat="1" applyFont="1" applyFill="1" applyBorder="1" applyAlignment="1">
      <x:alignment horizontal="left" vertical="center" wrapText="1"/>
    </x:xf>
    <x:xf numFmtId="0" fontId="1" fillId="5" borderId="44" xfId="0" applyNumberFormat="1" applyFont="1" applyFill="1" applyBorder="1" applyAlignment="1">
      <x:alignment vertical="center"/>
    </x:xf>
    <x:xf numFmtId="0" fontId="1" fillId="5" borderId="44" xfId="0" applyNumberFormat="1" applyFont="1" applyFill="1" applyBorder="1" applyAlignment="1">
      <x:alignment vertical="center" wrapText="1"/>
    </x:xf>
    <x:xf numFmtId="0" fontId="1" fillId="5" borderId="44" xfId="0" applyNumberFormat="1" applyFont="1" applyFill="1" applyBorder="1" applyAlignment="1">
      <x:alignment horizontal="left"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1" fillId="11" borderId="44" xfId="0" applyNumberFormat="1" applyFont="1" applyFill="1" applyBorder="1" applyAlignment="1">
      <x:alignment vertical="center"/>
    </x:xf>
    <x:xf numFmtId="0" fontId="1" fillId="11" borderId="44" xfId="0" applyNumberFormat="1" applyFont="1" applyFill="1" applyBorder="1" applyAlignment="1">
      <x:alignment vertical="center" wrapText="1"/>
    </x:xf>
    <x:xf numFmtId="0" fontId="1" fillId="11" borderId="44" xfId="0" applyNumberFormat="1" applyFont="1" applyFill="1" applyBorder="1" applyAlignment="1">
      <x:alignment horizontal="left" vertical="center" wrapText="1"/>
    </x:xf>
    <x:xf numFmtId="0" fontId="7" fillId="8" borderId="0" xfId="0" applyNumberFormat="1" applyFont="1" applyFill="1" applyBorder="1" applyAlignment="1">
      <x:alignment vertical="center"/>
    </x:xf>
    <x:xf numFmtId="0" fontId="7" fillId="8" borderId="36" xfId="0" applyNumberFormat="1" applyFont="1" applyFill="1" applyBorder="1" applyAlignment="1">
      <x:alignment vertical="center"/>
    </x:xf>
    <x:xf numFmtId="0" fontId="7" fillId="8" borderId="37" xfId="0" applyNumberFormat="1" applyFont="1" applyFill="1" applyBorder="1" applyAlignment="1">
      <x:alignment vertical="center"/>
    </x:xf>
    <x:xf numFmtId="0" fontId="7" fillId="8" borderId="38" xfId="0" applyNumberFormat="1" applyFont="1" applyFill="1" applyBorder="1" applyAlignment="1">
      <x:alignment vertical="center"/>
    </x:xf>
    <x:xf numFmtId="0" fontId="7" fillId="8" borderId="39" xfId="0" applyNumberFormat="1" applyFont="1" applyFill="1" applyBorder="1" applyAlignment="1">
      <x:alignment vertical="center"/>
    </x:xf>
    <x:xf numFmtId="0" fontId="7" fillId="8" borderId="40" xfId="0" applyNumberFormat="1" applyFont="1" applyFill="1" applyBorder="1" applyAlignment="1">
      <x:alignment vertical="center"/>
    </x:xf>
    <x:xf numFmtId="0" fontId="7" fillId="8" borderId="41" xfId="0" applyNumberFormat="1" applyFont="1" applyFill="1" applyBorder="1" applyAlignment="1">
      <x:alignment vertical="center"/>
    </x:xf>
    <x:xf numFmtId="0" fontId="7" fillId="8" borderId="42" xfId="0" applyNumberFormat="1" applyFont="1" applyFill="1" applyBorder="1" applyAlignment="1">
      <x:alignment vertical="center"/>
    </x:xf>
    <x:xf numFmtId="0" fontId="7" fillId="8" borderId="43" xfId="0" applyNumberFormat="1" applyFont="1" applyFill="1" applyBorder="1" applyAlignment="1">
      <x:alignment vertical="center"/>
    </x:xf>
    <x:xf numFmtId="0" fontId="7" fillId="8" borderId="36" xfId="0" applyNumberFormat="1" applyFont="1" applyFill="1" applyBorder="1" applyAlignment="1">
      <x:alignment vertical="center" wrapText="1"/>
    </x:xf>
    <x:xf numFmtId="0" fontId="7" fillId="8" borderId="37" xfId="0" applyNumberFormat="1" applyFont="1" applyFill="1" applyBorder="1" applyAlignment="1">
      <x:alignment vertical="center" wrapText="1"/>
    </x:xf>
    <x:xf numFmtId="0" fontId="7" fillId="8" borderId="38" xfId="0" applyNumberFormat="1" applyFont="1" applyFill="1" applyBorder="1" applyAlignment="1">
      <x:alignment vertical="center" wrapText="1"/>
    </x:xf>
    <x:xf numFmtId="0" fontId="7" fillId="8" borderId="39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40" xfId="0" applyNumberFormat="1" applyFont="1" applyFill="1" applyBorder="1" applyAlignment="1">
      <x:alignment vertical="center" wrapText="1"/>
    </x:xf>
    <x:xf numFmtId="0" fontId="7" fillId="8" borderId="41" xfId="0" applyNumberFormat="1" applyFont="1" applyFill="1" applyBorder="1" applyAlignment="1">
      <x:alignment vertical="center" wrapText="1"/>
    </x:xf>
    <x:xf numFmtId="0" fontId="7" fillId="8" borderId="42" xfId="0" applyNumberFormat="1" applyFont="1" applyFill="1" applyBorder="1" applyAlignment="1">
      <x:alignment vertical="center" wrapText="1"/>
    </x:xf>
    <x:xf numFmtId="0" fontId="7" fillId="8" borderId="43" xfId="0" applyNumberFormat="1" applyFont="1" applyFill="1" applyBorder="1" applyAlignment="1">
      <x:alignment vertical="center" wrapText="1"/>
    </x:xf>
    <x:xf numFmtId="0" fontId="7" fillId="8" borderId="36" xfId="0" applyNumberFormat="1" applyFont="1" applyFill="1" applyBorder="1" applyAlignment="1">
      <x:alignment horizontal="center" vertical="center" wrapText="1"/>
    </x:xf>
    <x:xf numFmtId="0" fontId="7" fillId="8" borderId="37" xfId="0" applyNumberFormat="1" applyFont="1" applyFill="1" applyBorder="1" applyAlignment="1">
      <x:alignment horizontal="center" vertical="center" wrapText="1"/>
    </x:xf>
    <x:xf numFmtId="0" fontId="7" fillId="8" borderId="38" xfId="0" applyNumberFormat="1" applyFont="1" applyFill="1" applyBorder="1" applyAlignment="1">
      <x:alignment horizontal="center" vertical="center" wrapText="1"/>
    </x:xf>
    <x:xf numFmtId="0" fontId="7" fillId="8" borderId="39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40" xfId="0" applyNumberFormat="1" applyFont="1" applyFill="1" applyBorder="1" applyAlignment="1">
      <x:alignment horizontal="center" vertical="center" wrapText="1"/>
    </x:xf>
    <x:xf numFmtId="0" fontId="7" fillId="8" borderId="41" xfId="0" applyNumberFormat="1" applyFont="1" applyFill="1" applyBorder="1" applyAlignment="1">
      <x:alignment horizontal="center" vertical="center" wrapText="1"/>
    </x:xf>
    <x:xf numFmtId="0" fontId="7" fillId="8" borderId="42" xfId="0" applyNumberFormat="1" applyFont="1" applyFill="1" applyBorder="1" applyAlignment="1">
      <x:alignment horizontal="center" vertical="center" wrapText="1"/>
    </x:xf>
    <x:xf numFmtId="0" fontId="7" fillId="8" borderId="43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 applyAlignment="1">
      <x:alignment vertical="center"/>
    </x:xf>
    <x:xf numFmtId="0" fontId="8" fillId="5" borderId="12" xfId="0" applyNumberFormat="1" applyFont="1" applyFill="1" applyBorder="1" applyAlignment="1">
      <x:alignment vertical="center"/>
    </x:xf>
    <x:xf numFmtId="0" fontId="8" fillId="5" borderId="13" xfId="0" applyNumberFormat="1" applyFont="1" applyFill="1" applyBorder="1" applyAlignment="1">
      <x:alignment vertical="center"/>
    </x:xf>
    <x:xf numFmtId="0" fontId="8" fillId="5" borderId="14" xfId="0" applyNumberFormat="1" applyFont="1" applyFill="1" applyBorder="1" applyAlignment="1">
      <x:alignment vertical="center"/>
    </x:xf>
    <x:xf numFmtId="0" fontId="8" fillId="5" borderId="15" xfId="0" applyNumberFormat="1" applyFont="1" applyFill="1" applyBorder="1" applyAlignment="1">
      <x:alignment vertical="center"/>
    </x:xf>
    <x:xf numFmtId="0" fontId="8" fillId="5" borderId="16" xfId="0" applyNumberFormat="1" applyFont="1" applyFill="1" applyBorder="1" applyAlignment="1">
      <x:alignment vertical="center"/>
    </x:xf>
    <x:xf numFmtId="0" fontId="8" fillId="5" borderId="17" xfId="0" applyNumberFormat="1" applyFont="1" applyFill="1" applyBorder="1" applyAlignment="1">
      <x:alignment vertical="center"/>
    </x:xf>
    <x:xf numFmtId="0" fontId="8" fillId="5" borderId="18" xfId="0" applyNumberFormat="1" applyFont="1" applyFill="1" applyBorder="1" applyAlignment="1">
      <x:alignment vertical="center"/>
    </x:xf>
    <x:xf numFmtId="0" fontId="8" fillId="5" borderId="19" xfId="0" applyNumberFormat="1" applyFont="1" applyFill="1" applyBorder="1" applyAlignment="1">
      <x:alignment vertical="center"/>
    </x:xf>
    <x:xf numFmtId="0" fontId="8" fillId="5" borderId="12" xfId="0" applyNumberFormat="1" applyFont="1" applyFill="1" applyBorder="1" applyAlignment="1">
      <x:alignment vertical="center" wrapText="1"/>
    </x:xf>
    <x:xf numFmtId="0" fontId="8" fillId="5" borderId="13" xfId="0" applyNumberFormat="1" applyFont="1" applyFill="1" applyBorder="1" applyAlignment="1">
      <x:alignment vertical="center" wrapText="1"/>
    </x:xf>
    <x:xf numFmtId="0" fontId="8" fillId="5" borderId="14" xfId="0" applyNumberFormat="1" applyFont="1" applyFill="1" applyBorder="1" applyAlignment="1">
      <x:alignment vertical="center" wrapText="1"/>
    </x:xf>
    <x:xf numFmtId="0" fontId="8" fillId="5" borderId="15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16" xfId="0" applyNumberFormat="1" applyFont="1" applyFill="1" applyBorder="1" applyAlignment="1">
      <x:alignment vertical="center" wrapText="1"/>
    </x:xf>
    <x:xf numFmtId="0" fontId="8" fillId="5" borderId="17" xfId="0" applyNumberFormat="1" applyFont="1" applyFill="1" applyBorder="1" applyAlignment="1">
      <x:alignment vertical="center" wrapText="1"/>
    </x:xf>
    <x:xf numFmtId="0" fontId="8" fillId="5" borderId="18" xfId="0" applyNumberFormat="1" applyFont="1" applyFill="1" applyBorder="1" applyAlignment="1">
      <x:alignment vertical="center" wrapText="1"/>
    </x:xf>
    <x:xf numFmtId="0" fontId="8" fillId="5" borderId="19" xfId="0" applyNumberFormat="1" applyFont="1" applyFill="1" applyBorder="1" applyAlignment="1">
      <x:alignment vertical="center" wrapText="1"/>
    </x:xf>
    <x:xf numFmtId="0" fontId="8" fillId="5" borderId="12" xfId="0" applyNumberFormat="1" applyFont="1" applyFill="1" applyBorder="1" applyAlignment="1">
      <x:alignment horizontal="center" vertical="center" wrapText="1"/>
    </x:xf>
    <x:xf numFmtId="0" fontId="8" fillId="5" borderId="13" xfId="0" applyNumberFormat="1" applyFont="1" applyFill="1" applyBorder="1" applyAlignment="1">
      <x:alignment horizontal="center" vertical="center" wrapText="1"/>
    </x:xf>
    <x:xf numFmtId="0" fontId="8" fillId="5" borderId="14" xfId="0" applyNumberFormat="1" applyFont="1" applyFill="1" applyBorder="1" applyAlignment="1">
      <x:alignment horizontal="center" vertical="center" wrapText="1"/>
    </x:xf>
    <x:xf numFmtId="0" fontId="8" fillId="5" borderId="15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8" fillId="5" borderId="16" xfId="0" applyNumberFormat="1" applyFont="1" applyFill="1" applyBorder="1" applyAlignment="1">
      <x:alignment horizontal="center" vertical="center" wrapText="1"/>
    </x:xf>
    <x:xf numFmtId="0" fontId="8" fillId="5" borderId="17" xfId="0" applyNumberFormat="1" applyFont="1" applyFill="1" applyBorder="1" applyAlignment="1">
      <x:alignment horizontal="center" vertical="center" wrapText="1"/>
    </x:xf>
    <x:xf numFmtId="0" fontId="8" fillId="5" borderId="18" xfId="0" applyNumberFormat="1" applyFont="1" applyFill="1" applyBorder="1" applyAlignment="1">
      <x:alignment horizontal="center" vertical="center" wrapText="1"/>
    </x:xf>
    <x:xf numFmtId="0" fontId="8" fillId="5" borderId="19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vertical="center"/>
    </x:xf>
    <x:xf numFmtId="0" fontId="10" fillId="12" borderId="0" xfId="0" applyNumberFormat="1" applyFont="1" applyFill="1" applyBorder="1" applyAlignment="1">
      <x:alignment vertical="center"/>
    </x:xf>
    <x:xf numFmtId="0" fontId="10" fillId="12" borderId="44" xfId="0" applyNumberFormat="1" applyFont="1" applyFill="1" applyBorder="1" applyAlignment="1">
      <x:alignment vertical="center"/>
    </x:xf>
    <x:xf numFmtId="0" fontId="10" fillId="12" borderId="44" xfId="0" applyNumberFormat="1" applyFont="1" applyFill="1" applyBorder="1" applyAlignment="1">
      <x:alignment vertical="center" wrapText="1"/>
    </x:xf>
    <x:xf numFmtId="0" fontId="10" fillId="12" borderId="44" xfId="0" applyNumberFormat="1" applyFont="1" applyFill="1" applyBorder="1" applyAlignment="1">
      <x:alignment horizontal="center" vertical="center" wrapText="1"/>
    </x:xf>
    <x:xf numFmtId="0" fontId="1" fillId="12" borderId="44" xfId="0" applyNumberFormat="1" applyFont="1" applyFill="1" applyBorder="1" applyAlignment="1">
      <x:alignment vertical="center"/>
    </x:xf>
    <x:xf numFmtId="0" fontId="1" fillId="12" borderId="44" xfId="0" applyNumberFormat="1" applyFont="1" applyFill="1" applyBorder="1" applyAlignment="1">
      <x:alignment vertical="center" wrapText="1"/>
    </x:xf>
    <x:xf numFmtId="0" fontId="1" fillId="12" borderId="44" xfId="0" applyNumberFormat="1" applyFont="1" applyFill="1" applyBorder="1" applyAlignment="1">
      <x:alignment horizontal="left" vertical="center" wrapText="1"/>
    </x:xf>
    <x:xf numFmtId="0" fontId="10" fillId="11" borderId="0" xfId="0" applyNumberFormat="1" applyFont="1" applyFill="1" applyBorder="1" applyAlignment="1">
      <x:alignment vertical="center"/>
    </x:xf>
    <x:xf numFmtId="0" fontId="10" fillId="11" borderId="44" xfId="0" applyNumberFormat="1" applyFont="1" applyFill="1" applyBorder="1" applyAlignment="1">
      <x:alignment vertical="center"/>
    </x:xf>
    <x:xf numFmtId="0" fontId="10" fillId="11" borderId="44" xfId="0" applyNumberFormat="1" applyFont="1" applyFill="1" applyBorder="1" applyAlignment="1">
      <x:alignment vertical="center" wrapText="1"/>
    </x:xf>
    <x:xf numFmtId="0" fontId="10" fillId="11" borderId="44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 applyAlignment="1">
      <x:alignment vertical="center"/>
    </x:xf>
    <x:xf numFmtId="0" fontId="5" fillId="13" borderId="28" xfId="0" applyNumberFormat="1" applyFont="1" applyFill="1" applyBorder="1" applyAlignment="1">
      <x:alignment vertical="center"/>
    </x:xf>
    <x:xf numFmtId="0" fontId="5" fillId="13" borderId="29" xfId="0" applyNumberFormat="1" applyFont="1" applyFill="1" applyBorder="1" applyAlignment="1">
      <x:alignment vertical="center"/>
    </x:xf>
    <x:xf numFmtId="0" fontId="5" fillId="13" borderId="30" xfId="0" applyNumberFormat="1" applyFont="1" applyFill="1" applyBorder="1" applyAlignment="1">
      <x:alignment vertical="center"/>
    </x:xf>
    <x:xf numFmtId="0" fontId="5" fillId="13" borderId="31" xfId="0" applyNumberFormat="1" applyFont="1" applyFill="1" applyBorder="1" applyAlignment="1">
      <x:alignment vertical="center"/>
    </x:xf>
    <x:xf numFmtId="0" fontId="5" fillId="13" borderId="32" xfId="0" applyNumberFormat="1" applyFont="1" applyFill="1" applyBorder="1" applyAlignment="1">
      <x:alignment vertical="center"/>
    </x:xf>
    <x:xf numFmtId="0" fontId="5" fillId="13" borderId="33" xfId="0" applyNumberFormat="1" applyFont="1" applyFill="1" applyBorder="1" applyAlignment="1">
      <x:alignment vertical="center"/>
    </x:xf>
    <x:xf numFmtId="0" fontId="5" fillId="13" borderId="34" xfId="0" applyNumberFormat="1" applyFont="1" applyFill="1" applyBorder="1" applyAlignment="1">
      <x:alignment vertical="center"/>
    </x:xf>
    <x:xf numFmtId="0" fontId="5" fillId="13" borderId="35" xfId="0" applyNumberFormat="1" applyFont="1" applyFill="1" applyBorder="1" applyAlignment="1">
      <x:alignment vertical="center"/>
    </x:xf>
    <x:xf numFmtId="0" fontId="5" fillId="13" borderId="28" xfId="0" applyNumberFormat="1" applyFont="1" applyFill="1" applyBorder="1" applyAlignment="1">
      <x:alignment vertical="center" wrapText="1"/>
    </x:xf>
    <x:xf numFmtId="0" fontId="5" fillId="13" borderId="29" xfId="0" applyNumberFormat="1" applyFont="1" applyFill="1" applyBorder="1" applyAlignment="1">
      <x:alignment vertical="center" wrapText="1"/>
    </x:xf>
    <x:xf numFmtId="0" fontId="5" fillId="13" borderId="30" xfId="0" applyNumberFormat="1" applyFont="1" applyFill="1" applyBorder="1" applyAlignment="1">
      <x:alignment vertical="center" wrapText="1"/>
    </x:xf>
    <x:xf numFmtId="0" fontId="5" fillId="13" borderId="31" xfId="0" applyNumberFormat="1" applyFont="1" applyFill="1" applyBorder="1" applyAlignment="1">
      <x:alignment vertical="center" wrapText="1"/>
    </x:xf>
    <x:xf numFmtId="0" fontId="5" fillId="13" borderId="0" xfId="0" applyNumberFormat="1" applyFont="1" applyFill="1" applyBorder="1" applyAlignment="1">
      <x:alignment vertical="center" wrapText="1"/>
    </x:xf>
    <x:xf numFmtId="0" fontId="5" fillId="13" borderId="32" xfId="0" applyNumberFormat="1" applyFont="1" applyFill="1" applyBorder="1" applyAlignment="1">
      <x:alignment vertical="center" wrapText="1"/>
    </x:xf>
    <x:xf numFmtId="0" fontId="5" fillId="13" borderId="33" xfId="0" applyNumberFormat="1" applyFont="1" applyFill="1" applyBorder="1" applyAlignment="1">
      <x:alignment vertical="center" wrapText="1"/>
    </x:xf>
    <x:xf numFmtId="0" fontId="5" fillId="13" borderId="34" xfId="0" applyNumberFormat="1" applyFont="1" applyFill="1" applyBorder="1" applyAlignment="1">
      <x:alignment vertical="center" wrapText="1"/>
    </x:xf>
    <x:xf numFmtId="0" fontId="5" fillId="13" borderId="35" xfId="0" applyNumberFormat="1" applyFont="1" applyFill="1" applyBorder="1" applyAlignment="1">
      <x:alignment vertical="center" wrapText="1"/>
    </x:xf>
    <x:xf numFmtId="0" fontId="5" fillId="13" borderId="28" xfId="0" applyNumberFormat="1" applyFont="1" applyFill="1" applyBorder="1" applyAlignment="1">
      <x:alignment horizontal="left" vertical="center" wrapText="1"/>
    </x:xf>
    <x:xf numFmtId="0" fontId="5" fillId="13" borderId="29" xfId="0" applyNumberFormat="1" applyFont="1" applyFill="1" applyBorder="1" applyAlignment="1">
      <x:alignment horizontal="left" vertical="center" wrapText="1"/>
    </x:xf>
    <x:xf numFmtId="0" fontId="5" fillId="13" borderId="30" xfId="0" applyNumberFormat="1" applyFont="1" applyFill="1" applyBorder="1" applyAlignment="1">
      <x:alignment horizontal="left" vertical="center" wrapText="1"/>
    </x:xf>
    <x:xf numFmtId="0" fontId="5" fillId="13" borderId="31" xfId="0" applyNumberFormat="1" applyFont="1" applyFill="1" applyBorder="1" applyAlignment="1">
      <x:alignment horizontal="left" vertical="center" wrapText="1"/>
    </x:xf>
    <x:xf numFmtId="0" fontId="5" fillId="13" borderId="0" xfId="0" applyNumberFormat="1" applyFont="1" applyFill="1" applyBorder="1" applyAlignment="1">
      <x:alignment horizontal="left" vertical="center" wrapText="1"/>
    </x:xf>
    <x:xf numFmtId="0" fontId="5" fillId="13" borderId="32" xfId="0" applyNumberFormat="1" applyFont="1" applyFill="1" applyBorder="1" applyAlignment="1">
      <x:alignment horizontal="left" vertical="center" wrapText="1"/>
    </x:xf>
    <x:xf numFmtId="0" fontId="5" fillId="13" borderId="33" xfId="0" applyNumberFormat="1" applyFont="1" applyFill="1" applyBorder="1" applyAlignment="1">
      <x:alignment horizontal="left" vertical="center" wrapText="1"/>
    </x:xf>
    <x:xf numFmtId="0" fontId="5" fillId="13" borderId="34" xfId="0" applyNumberFormat="1" applyFont="1" applyFill="1" applyBorder="1" applyAlignment="1">
      <x:alignment horizontal="left" vertical="center" wrapText="1"/>
    </x:xf>
    <x:xf numFmtId="0" fontId="5" fillId="13" borderId="35" xfId="0" applyNumberFormat="1" applyFont="1" applyFill="1" applyBorder="1" applyAlignment="1">
      <x:alignment horizontal="left" vertical="center" wrapText="1"/>
    </x:xf>
    <x:xf numFmtId="0" fontId="1" fillId="11" borderId="45" xfId="0" applyNumberFormat="1" applyFont="1" applyFill="1" applyBorder="1" applyAlignment="1">
      <x:alignment vertical="center"/>
    </x:xf>
    <x:xf numFmtId="0" fontId="1" fillId="11" borderId="46" xfId="0" applyNumberFormat="1" applyFont="1" applyFill="1" applyBorder="1" applyAlignment="1">
      <x:alignment vertical="center"/>
    </x:xf>
    <x:xf numFmtId="0" fontId="1" fillId="11" borderId="47" xfId="0" applyNumberFormat="1" applyFont="1" applyFill="1" applyBorder="1" applyAlignment="1">
      <x:alignment vertical="center"/>
    </x:xf>
    <x:xf numFmtId="0" fontId="1" fillId="11" borderId="48" xfId="0" applyNumberFormat="1" applyFont="1" applyFill="1" applyBorder="1" applyAlignment="1">
      <x:alignment vertical="center"/>
    </x:xf>
    <x:xf numFmtId="0" fontId="1" fillId="11" borderId="49" xfId="0" applyNumberFormat="1" applyFont="1" applyFill="1" applyBorder="1" applyAlignment="1">
      <x:alignment vertical="center"/>
    </x:xf>
    <x:xf numFmtId="0" fontId="1" fillId="11" borderId="50" xfId="0" applyNumberFormat="1" applyFont="1" applyFill="1" applyBorder="1" applyAlignment="1">
      <x:alignment vertical="center"/>
    </x:xf>
    <x:xf numFmtId="0" fontId="1" fillId="11" borderId="51" xfId="0" applyNumberFormat="1" applyFont="1" applyFill="1" applyBorder="1" applyAlignment="1">
      <x:alignment vertical="center"/>
    </x:xf>
    <x:xf numFmtId="0" fontId="1" fillId="11" borderId="52" xfId="0" applyNumberFormat="1" applyFont="1" applyFill="1" applyBorder="1" applyAlignment="1">
      <x:alignment vertical="center"/>
    </x:xf>
    <x:xf numFmtId="0" fontId="1" fillId="11" borderId="45" xfId="0" applyNumberFormat="1" applyFont="1" applyFill="1" applyBorder="1" applyAlignment="1">
      <x:alignment vertical="center" wrapText="1"/>
    </x:xf>
    <x:xf numFmtId="0" fontId="1" fillId="11" borderId="46" xfId="0" applyNumberFormat="1" applyFont="1" applyFill="1" applyBorder="1" applyAlignment="1">
      <x:alignment vertical="center" wrapText="1"/>
    </x:xf>
    <x:xf numFmtId="0" fontId="1" fillId="11" borderId="47" xfId="0" applyNumberFormat="1" applyFont="1" applyFill="1" applyBorder="1" applyAlignment="1">
      <x:alignment vertical="center" wrapText="1"/>
    </x:xf>
    <x:xf numFmtId="0" fontId="1" fillId="11" borderId="48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1" fillId="11" borderId="49" xfId="0" applyNumberFormat="1" applyFont="1" applyFill="1" applyBorder="1" applyAlignment="1">
      <x:alignment vertical="center" wrapText="1"/>
    </x:xf>
    <x:xf numFmtId="0" fontId="1" fillId="11" borderId="50" xfId="0" applyNumberFormat="1" applyFont="1" applyFill="1" applyBorder="1" applyAlignment="1">
      <x:alignment vertical="center" wrapText="1"/>
    </x:xf>
    <x:xf numFmtId="0" fontId="1" fillId="11" borderId="51" xfId="0" applyNumberFormat="1" applyFont="1" applyFill="1" applyBorder="1" applyAlignment="1">
      <x:alignment vertical="center" wrapText="1"/>
    </x:xf>
    <x:xf numFmtId="0" fontId="1" fillId="11" borderId="52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vertical="center"/>
    </x:xf>
    <x:xf numFmtId="0" fontId="4" fillId="10" borderId="53" xfId="0" applyNumberFormat="1" applyFont="1" applyFill="1" applyBorder="1" applyAlignment="1">
      <x:alignment vertical="center"/>
    </x:xf>
    <x:xf numFmtId="0" fontId="4" fillId="10" borderId="54" xfId="0" applyNumberFormat="1" applyFont="1" applyFill="1" applyBorder="1" applyAlignment="1">
      <x:alignment vertical="center"/>
    </x:xf>
    <x:xf numFmtId="0" fontId="4" fillId="10" borderId="55" xfId="0" applyNumberFormat="1" applyFont="1" applyFill="1" applyBorder="1" applyAlignment="1">
      <x:alignment vertical="center"/>
    </x:xf>
    <x:xf numFmtId="0" fontId="4" fillId="10" borderId="53" xfId="0" applyNumberFormat="1" applyFont="1" applyFill="1" applyBorder="1" applyAlignment="1">
      <x:alignment vertical="center" wrapText="1"/>
    </x:xf>
    <x:xf numFmtId="0" fontId="4" fillId="10" borderId="54" xfId="0" applyNumberFormat="1" applyFont="1" applyFill="1" applyBorder="1" applyAlignment="1">
      <x:alignment vertical="center" wrapText="1"/>
    </x:xf>
    <x:xf numFmtId="0" fontId="4" fillId="10" borderId="55" xfId="0" applyNumberFormat="1" applyFont="1" applyFill="1" applyBorder="1" applyAlignment="1">
      <x:alignment vertical="center" wrapText="1"/>
    </x:xf>
    <x:xf numFmtId="0" fontId="4" fillId="10" borderId="53" xfId="0" applyNumberFormat="1" applyFont="1" applyFill="1" applyBorder="1" applyAlignment="1">
      <x:alignment horizontal="left" vertical="center" wrapText="1"/>
    </x:xf>
    <x:xf numFmtId="0" fontId="4" fillId="10" borderId="54" xfId="0" applyNumberFormat="1" applyFont="1" applyFill="1" applyBorder="1" applyAlignment="1">
      <x:alignment horizontal="left" vertical="center" wrapText="1"/>
    </x:xf>
    <x:xf numFmtId="0" fontId="4" fillId="10" borderId="55" xfId="0" applyNumberFormat="1" applyFont="1" applyFill="1" applyBorder="1" applyAlignment="1">
      <x:alignment horizontal="left" vertical="center" wrapText="1"/>
    </x:xf>
    <x:xf numFmtId="0" fontId="10" fillId="5" borderId="0" xfId="0" applyNumberFormat="1" applyFont="1" applyFill="1" applyBorder="1" applyAlignment="1">
      <x:alignment vertical="center"/>
    </x:xf>
    <x:xf numFmtId="0" fontId="10" fillId="5" borderId="44" xfId="0" applyNumberFormat="1" applyFont="1" applyFill="1" applyBorder="1" applyAlignment="1">
      <x:alignment vertical="center"/>
    </x:xf>
    <x:xf numFmtId="0" fontId="10" fillId="5" borderId="44" xfId="0" applyNumberFormat="1" applyFont="1" applyFill="1" applyBorder="1" applyAlignment="1">
      <x:alignment vertical="center" wrapText="1"/>
    </x:xf>
    <x:xf numFmtId="0" fontId="10" fillId="5" borderId="44" xfId="0" applyNumberFormat="1" applyFont="1" applyFill="1" applyBorder="1" applyAlignment="1">
      <x:alignment horizontal="center" vertical="center" wrapText="1"/>
    </x:xf>
    <x:xf numFmtId="0" fontId="9" fillId="3" borderId="44" xfId="0" applyNumberFormat="1" applyFont="1" applyFill="1" applyBorder="1" applyAlignment="1">
      <x:alignment vertical="center"/>
    </x:xf>
    <x:xf numFmtId="0" fontId="9" fillId="3" borderId="44" xfId="0" applyNumberFormat="1" applyFont="1" applyFill="1" applyBorder="1" applyAlignment="1">
      <x:alignment vertical="center" wrapText="1"/>
    </x:xf>
    <x:xf numFmtId="0" fontId="9" fillId="3" borderId="44" xfId="0" applyNumberFormat="1" applyFont="1" applyFill="1" applyBorder="1" applyAlignment="1">
      <x:alignment horizontal="center" vertical="center" wrapText="1"/>
    </x:xf>
    <x:xf numFmtId="0" fontId="1" fillId="11" borderId="44" xfId="0" applyNumberFormat="1" applyFont="1" applyFill="1" applyBorder="1" applyAlignment="1">
      <x:alignment horizontal="center" vertical="center" wrapText="1"/>
    </x:xf>
    <x:xf numFmtId="200" fontId="1" fillId="11" borderId="44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vertical="center"/>
    </x:xf>
    <x:xf numFmtId="0" fontId="11" fillId="6" borderId="20" xfId="0" applyNumberFormat="1" applyFont="1" applyFill="1" applyBorder="1" applyAlignment="1">
      <x:alignment vertical="center"/>
    </x:xf>
    <x:xf numFmtId="0" fontId="11" fillId="6" borderId="21" xfId="0" applyNumberFormat="1" applyFont="1" applyFill="1" applyBorder="1" applyAlignment="1">
      <x:alignment vertical="center"/>
    </x:xf>
    <x:xf numFmtId="0" fontId="11" fillId="6" borderId="22" xfId="0" applyNumberFormat="1" applyFont="1" applyFill="1" applyBorder="1" applyAlignment="1">
      <x:alignment vertical="center"/>
    </x:xf>
    <x:xf numFmtId="0" fontId="11" fillId="6" borderId="23" xfId="0" applyNumberFormat="1" applyFont="1" applyFill="1" applyBorder="1" applyAlignment="1">
      <x:alignment vertical="center"/>
    </x:xf>
    <x:xf numFmtId="0" fontId="11" fillId="6" borderId="24" xfId="0" applyNumberFormat="1" applyFont="1" applyFill="1" applyBorder="1" applyAlignment="1">
      <x:alignment vertical="center"/>
    </x:xf>
    <x:xf numFmtId="0" fontId="11" fillId="6" borderId="25" xfId="0" applyNumberFormat="1" applyFont="1" applyFill="1" applyBorder="1" applyAlignment="1">
      <x:alignment vertical="center"/>
    </x:xf>
    <x:xf numFmtId="0" fontId="11" fillId="6" borderId="26" xfId="0" applyNumberFormat="1" applyFont="1" applyFill="1" applyBorder="1" applyAlignment="1">
      <x:alignment vertical="center"/>
    </x:xf>
    <x:xf numFmtId="0" fontId="11" fillId="6" borderId="27" xfId="0" applyNumberFormat="1" applyFont="1" applyFill="1" applyBorder="1" applyAlignment="1">
      <x:alignment vertical="center"/>
    </x:xf>
    <x:xf numFmtId="0" fontId="11" fillId="6" borderId="20" xfId="0" applyNumberFormat="1" applyFont="1" applyFill="1" applyBorder="1" applyAlignment="1">
      <x:alignment vertical="center" wrapText="1"/>
    </x:xf>
    <x:xf numFmtId="0" fontId="11" fillId="6" borderId="21" xfId="0" applyNumberFormat="1" applyFont="1" applyFill="1" applyBorder="1" applyAlignment="1">
      <x:alignment vertical="center" wrapText="1"/>
    </x:xf>
    <x:xf numFmtId="0" fontId="11" fillId="6" borderId="22" xfId="0" applyNumberFormat="1" applyFont="1" applyFill="1" applyBorder="1" applyAlignment="1">
      <x:alignment vertical="center" wrapText="1"/>
    </x:xf>
    <x:xf numFmtId="0" fontId="11" fillId="6" borderId="23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vertical="center" wrapText="1"/>
    </x:xf>
    <x:xf numFmtId="0" fontId="11" fillId="6" borderId="24" xfId="0" applyNumberFormat="1" applyFont="1" applyFill="1" applyBorder="1" applyAlignment="1">
      <x:alignment vertical="center" wrapText="1"/>
    </x:xf>
    <x:xf numFmtId="0" fontId="11" fillId="6" borderId="25" xfId="0" applyNumberFormat="1" applyFont="1" applyFill="1" applyBorder="1" applyAlignment="1">
      <x:alignment vertical="center" wrapText="1"/>
    </x:xf>
    <x:xf numFmtId="0" fontId="11" fillId="6" borderId="26" xfId="0" applyNumberFormat="1" applyFont="1" applyFill="1" applyBorder="1" applyAlignment="1">
      <x:alignment vertical="center" wrapText="1"/>
    </x:xf>
    <x:xf numFmtId="0" fontId="11" fillId="6" borderId="27" xfId="0" applyNumberFormat="1" applyFont="1" applyFill="1" applyBorder="1" applyAlignment="1">
      <x:alignment vertical="center" wrapText="1"/>
    </x:xf>
    <x:xf numFmtId="0" fontId="11" fillId="6" borderId="20" xfId="0" applyNumberFormat="1" applyFont="1" applyFill="1" applyBorder="1" applyAlignment="1">
      <x:alignment horizontal="center" vertical="center" wrapText="1"/>
    </x:xf>
    <x:xf numFmtId="0" fontId="11" fillId="6" borderId="21" xfId="0" applyNumberFormat="1" applyFont="1" applyFill="1" applyBorder="1" applyAlignment="1">
      <x:alignment horizontal="center" vertical="center" wrapText="1"/>
    </x:xf>
    <x:xf numFmtId="0" fontId="11" fillId="6" borderId="22" xfId="0" applyNumberFormat="1" applyFont="1" applyFill="1" applyBorder="1" applyAlignment="1">
      <x:alignment horizontal="center" vertical="center" wrapText="1"/>
    </x:xf>
    <x:xf numFmtId="0" fontId="11" fillId="6" borderId="23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center" vertical="center" wrapText="1"/>
    </x:xf>
    <x:xf numFmtId="0" fontId="11" fillId="6" borderId="24" xfId="0" applyNumberFormat="1" applyFont="1" applyFill="1" applyBorder="1" applyAlignment="1">
      <x:alignment horizontal="center" vertical="center" wrapText="1"/>
    </x:xf>
    <x:xf numFmtId="0" fontId="11" fillId="6" borderId="25" xfId="0" applyNumberFormat="1" applyFont="1" applyFill="1" applyBorder="1" applyAlignment="1">
      <x:alignment horizontal="center" vertical="center" wrapText="1"/>
    </x:xf>
    <x:xf numFmtId="0" fontId="11" fillId="6" borderId="26" xfId="0" applyNumberFormat="1" applyFont="1" applyFill="1" applyBorder="1" applyAlignment="1">
      <x:alignment horizontal="center" vertical="center" wrapText="1"/>
    </x:xf>
    <x:xf numFmtId="0" fontId="11" fillId="6" borderId="27" xfId="0" applyNumberFormat="1" applyFont="1" applyFill="1" applyBorder="1" applyAlignment="1">
      <x:alignment horizontal="center" vertical="center" wrapText="1"/>
    </x:xf>
    <x:xf numFmtId="0" fontId="1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/>
    </x:xf>
    <x:xf numFmtId="0" fontId="4" fillId="14" borderId="56" xfId="0" applyNumberFormat="1" applyFont="1" applyFill="1" applyBorder="1" applyAlignment="1">
      <x:alignment vertical="center"/>
    </x:xf>
    <x:xf numFmtId="0" fontId="4" fillId="14" borderId="57" xfId="0" applyNumberFormat="1" applyFont="1" applyFill="1" applyBorder="1" applyAlignment="1">
      <x:alignment vertical="center"/>
    </x:xf>
    <x:xf numFmtId="0" fontId="4" fillId="14" borderId="58" xfId="0" applyNumberFormat="1" applyFont="1" applyFill="1" applyBorder="1" applyAlignment="1">
      <x:alignment vertical="center"/>
    </x:xf>
    <x:xf numFmtId="0" fontId="4" fillId="14" borderId="56" xfId="0" applyNumberFormat="1" applyFont="1" applyFill="1" applyBorder="1" applyAlignment="1">
      <x:alignment vertical="center" wrapText="1"/>
    </x:xf>
    <x:xf numFmtId="0" fontId="4" fillId="14" borderId="57" xfId="0" applyNumberFormat="1" applyFont="1" applyFill="1" applyBorder="1" applyAlignment="1">
      <x:alignment vertical="center" wrapText="1"/>
    </x:xf>
    <x:xf numFmtId="0" fontId="4" fillId="14" borderId="58" xfId="0" applyNumberFormat="1" applyFont="1" applyFill="1" applyBorder="1" applyAlignment="1">
      <x:alignment vertical="center" wrapText="1"/>
    </x:xf>
    <x:xf numFmtId="0" fontId="4" fillId="14" borderId="56" xfId="0" applyNumberFormat="1" applyFont="1" applyFill="1" applyBorder="1" applyAlignment="1">
      <x:alignment horizontal="left" vertical="center" wrapText="1"/>
    </x:xf>
    <x:xf numFmtId="0" fontId="4" fillId="14" borderId="57" xfId="0" applyNumberFormat="1" applyFont="1" applyFill="1" applyBorder="1" applyAlignment="1">
      <x:alignment horizontal="left" vertical="center" wrapText="1"/>
    </x:xf>
    <x:xf numFmtId="0" fontId="4" fillId="14" borderId="58" xfId="0" applyNumberFormat="1" applyFont="1" applyFill="1" applyBorder="1" applyAlignment="1">
      <x:alignment horizontal="left" vertical="center" wrapText="1"/>
    </x:xf>
    <x:xf numFmtId="0" fontId="12" fillId="12" borderId="0" xfId="0" applyNumberFormat="1" applyFont="1" applyFill="1" applyBorder="1" applyAlignment="1">
      <x:alignment vertical="center"/>
    </x:xf>
    <x:xf numFmtId="0" fontId="12" fillId="12" borderId="0" xfId="0" applyNumberFormat="1" applyFont="1" applyFill="1" applyBorder="1" applyAlignment="1">
      <x:alignment vertical="center" wrapText="1"/>
    </x:xf>
    <x:xf numFmtId="0" fontId="12" fillId="12" borderId="0" xfId="0" applyNumberFormat="1" applyFont="1" applyFill="1" applyBorder="1" applyAlignment="1">
      <x:alignment horizontal="right" vertical="center" wrapText="1"/>
    </x:xf>
    <x:xf numFmtId="0" fontId="13" fillId="5" borderId="0" xfId="0" applyNumberFormat="1" applyFont="1" applyFill="1" applyBorder="1" applyAlignment="1">
      <x:alignment vertical="center"/>
    </x:xf>
    <x:xf numFmtId="0" fontId="13" fillId="5" borderId="44" xfId="0" applyNumberFormat="1" applyFont="1" applyFill="1" applyBorder="1" applyAlignment="1">
      <x:alignment vertical="center"/>
    </x:xf>
    <x:xf numFmtId="0" fontId="13" fillId="5" borderId="44" xfId="0" applyNumberFormat="1" applyFont="1" applyFill="1" applyBorder="1" applyAlignment="1">
      <x:alignment vertical="center" wrapText="1"/>
    </x:xf>
    <x:xf numFmtId="0" fontId="13" fillId="5" borderId="44" xfId="0" applyNumberFormat="1" applyFont="1" applyFill="1" applyBorder="1" applyAlignment="1">
      <x:alignment horizontal="center" vertical="center" wrapText="1"/>
    </x:xf>
    <x:xf numFmtId="0" fontId="1" fillId="5" borderId="44" xfId="0" applyNumberFormat="1" applyFont="1" applyFill="1" applyBorder="1" applyAlignment="1">
      <x:alignment horizontal="center" vertical="center" wrapText="1"/>
    </x:xf>
    <x:xf numFmtId="0" fontId="13" fillId="11" borderId="0" xfId="0" applyNumberFormat="1" applyFont="1" applyFill="1" applyBorder="1" applyAlignment="1">
      <x:alignment vertical="center"/>
    </x:xf>
    <x:xf numFmtId="0" fontId="13" fillId="11" borderId="44" xfId="0" applyNumberFormat="1" applyFont="1" applyFill="1" applyBorder="1" applyAlignment="1">
      <x:alignment vertical="center"/>
    </x:xf>
    <x:xf numFmtId="0" fontId="13" fillId="11" borderId="44" xfId="0" applyNumberFormat="1" applyFont="1" applyFill="1" applyBorder="1" applyAlignment="1">
      <x:alignment vertical="center" wrapText="1"/>
    </x:xf>
    <x:xf numFmtId="0" fontId="13" fillId="11" borderId="44" xfId="0" applyNumberFormat="1" applyFont="1" applyFill="1" applyBorder="1" applyAlignment="1">
      <x:alignment horizontal="center" vertical="center" wrapText="1"/>
    </x:xf>
    <x:xf numFmtId="0" fontId="14" fillId="6" borderId="0" xfId="0" applyNumberFormat="1" applyFont="1" applyFill="1" applyBorder="1" applyAlignment="1">
      <x:alignment vertical="center"/>
    </x:xf>
    <x:xf numFmtId="0" fontId="14" fillId="6" borderId="44" xfId="0" applyNumberFormat="1" applyFont="1" applyFill="1" applyBorder="1" applyAlignment="1">
      <x:alignment vertical="center"/>
    </x:xf>
    <x:xf numFmtId="0" fontId="14" fillId="6" borderId="44" xfId="0" applyNumberFormat="1" applyFont="1" applyFill="1" applyBorder="1" applyAlignment="1">
      <x:alignment vertical="center" wrapText="1"/>
    </x:xf>
    <x:xf numFmtId="0" fontId="14" fillId="6" borderId="44" xfId="0" applyNumberFormat="1" applyFont="1" applyFill="1" applyBorder="1" applyAlignment="1">
      <x:alignment horizontal="center" vertical="center" wrapText="1"/>
    </x:xf>
    <x:xf numFmtId="0" fontId="1" fillId="6" borderId="44" xfId="0" applyNumberFormat="1" applyFont="1" applyFill="1" applyBorder="1" applyAlignment="1">
      <x:alignment vertical="center"/>
    </x:xf>
    <x:xf numFmtId="0" fontId="1" fillId="6" borderId="44" xfId="0" applyNumberFormat="1" applyFont="1" applyFill="1" applyBorder="1" applyAlignment="1">
      <x:alignment vertical="center" wrapText="1"/>
    </x:xf>
    <x:xf numFmtId="0" fontId="1" fillId="6" borderId="44" xfId="0" applyNumberFormat="1" applyFont="1" applyFill="1" applyBorder="1" applyAlignment="1">
      <x:alignment horizontal="left" vertical="center" wrapText="1"/>
    </x:xf>
    <x:xf numFmtId="0" fontId="14" fillId="11" borderId="0" xfId="0" applyNumberFormat="1" applyFont="1" applyFill="1" applyBorder="1" applyAlignment="1">
      <x:alignment vertical="center"/>
    </x:xf>
    <x:xf numFmtId="0" fontId="14" fillId="11" borderId="44" xfId="0" applyNumberFormat="1" applyFont="1" applyFill="1" applyBorder="1" applyAlignment="1">
      <x:alignment vertical="center"/>
    </x:xf>
    <x:xf numFmtId="0" fontId="14" fillId="11" borderId="44" xfId="0" applyNumberFormat="1" applyFont="1" applyFill="1" applyBorder="1" applyAlignment="1">
      <x:alignment vertical="center" wrapText="1"/>
    </x:xf>
    <x:xf numFmtId="0" fontId="14" fillId="11" borderId="44" xfId="0" applyNumberFormat="1" applyFont="1" applyFill="1" applyBorder="1" applyAlignment="1">
      <x:alignment horizontal="center" vertical="center" wrapText="1"/>
    </x:xf>
    <x:xf numFmtId="0" fontId="15" fillId="13" borderId="0" xfId="0" applyNumberFormat="1" applyFont="1" applyFill="1" applyBorder="1" applyAlignment="1">
      <x:alignment vertical="center"/>
    </x:xf>
    <x:xf numFmtId="0" fontId="15" fillId="13" borderId="28" xfId="0" applyNumberFormat="1" applyFont="1" applyFill="1" applyBorder="1" applyAlignment="1">
      <x:alignment vertical="center"/>
    </x:xf>
    <x:xf numFmtId="0" fontId="15" fillId="13" borderId="29" xfId="0" applyNumberFormat="1" applyFont="1" applyFill="1" applyBorder="1" applyAlignment="1">
      <x:alignment vertical="center"/>
    </x:xf>
    <x:xf numFmtId="0" fontId="15" fillId="13" borderId="30" xfId="0" applyNumberFormat="1" applyFont="1" applyFill="1" applyBorder="1" applyAlignment="1">
      <x:alignment vertical="center"/>
    </x:xf>
    <x:xf numFmtId="0" fontId="15" fillId="13" borderId="33" xfId="0" applyNumberFormat="1" applyFont="1" applyFill="1" applyBorder="1" applyAlignment="1">
      <x:alignment vertical="center"/>
    </x:xf>
    <x:xf numFmtId="0" fontId="15" fillId="13" borderId="34" xfId="0" applyNumberFormat="1" applyFont="1" applyFill="1" applyBorder="1" applyAlignment="1">
      <x:alignment vertical="center"/>
    </x:xf>
    <x:xf numFmtId="0" fontId="15" fillId="13" borderId="35" xfId="0" applyNumberFormat="1" applyFont="1" applyFill="1" applyBorder="1" applyAlignment="1">
      <x:alignment vertical="center"/>
    </x:xf>
    <x:xf numFmtId="0" fontId="15" fillId="13" borderId="28" xfId="0" applyNumberFormat="1" applyFont="1" applyFill="1" applyBorder="1" applyAlignment="1">
      <x:alignment vertical="center" wrapText="1"/>
    </x:xf>
    <x:xf numFmtId="0" fontId="15" fillId="13" borderId="29" xfId="0" applyNumberFormat="1" applyFont="1" applyFill="1" applyBorder="1" applyAlignment="1">
      <x:alignment vertical="center" wrapText="1"/>
    </x:xf>
    <x:xf numFmtId="0" fontId="15" fillId="13" borderId="30" xfId="0" applyNumberFormat="1" applyFont="1" applyFill="1" applyBorder="1" applyAlignment="1">
      <x:alignment vertical="center" wrapText="1"/>
    </x:xf>
    <x:xf numFmtId="0" fontId="15" fillId="13" borderId="33" xfId="0" applyNumberFormat="1" applyFont="1" applyFill="1" applyBorder="1" applyAlignment="1">
      <x:alignment vertical="center" wrapText="1"/>
    </x:xf>
    <x:xf numFmtId="0" fontId="15" fillId="13" borderId="34" xfId="0" applyNumberFormat="1" applyFont="1" applyFill="1" applyBorder="1" applyAlignment="1">
      <x:alignment vertical="center" wrapText="1"/>
    </x:xf>
    <x:xf numFmtId="0" fontId="15" fillId="13" borderId="35" xfId="0" applyNumberFormat="1" applyFont="1" applyFill="1" applyBorder="1" applyAlignment="1">
      <x:alignment vertical="center" wrapText="1"/>
    </x:xf>
    <x:xf numFmtId="0" fontId="15" fillId="13" borderId="28" xfId="0" applyNumberFormat="1" applyFont="1" applyFill="1" applyBorder="1" applyAlignment="1">
      <x:alignment horizontal="left" vertical="center" wrapText="1"/>
    </x:xf>
    <x:xf numFmtId="0" fontId="15" fillId="13" borderId="29" xfId="0" applyNumberFormat="1" applyFont="1" applyFill="1" applyBorder="1" applyAlignment="1">
      <x:alignment horizontal="left" vertical="center" wrapText="1"/>
    </x:xf>
    <x:xf numFmtId="0" fontId="15" fillId="13" borderId="30" xfId="0" applyNumberFormat="1" applyFont="1" applyFill="1" applyBorder="1" applyAlignment="1">
      <x:alignment horizontal="left" vertical="center" wrapText="1"/>
    </x:xf>
    <x:xf numFmtId="0" fontId="15" fillId="13" borderId="33" xfId="0" applyNumberFormat="1" applyFont="1" applyFill="1" applyBorder="1" applyAlignment="1">
      <x:alignment horizontal="left" vertical="center" wrapText="1"/>
    </x:xf>
    <x:xf numFmtId="0" fontId="15" fillId="13" borderId="34" xfId="0" applyNumberFormat="1" applyFont="1" applyFill="1" applyBorder="1" applyAlignment="1">
      <x:alignment horizontal="left" vertical="center" wrapText="1"/>
    </x:xf>
    <x:xf numFmtId="0" fontId="15" fillId="13" borderId="35" xfId="0" applyNumberFormat="1" applyFont="1" applyFill="1" applyBorder="1" applyAlignment="1">
      <x:alignment horizontal="left" vertical="center" wrapText="1"/>
    </x:xf>
    <x:xf numFmtId="201" fontId="1" fillId="11" borderId="44" xfId="0" applyNumberFormat="1" applyFont="1" applyFill="1" applyBorder="1" applyAlignment="1">
      <x:alignment horizontal="center" vertical="center" wrapText="1"/>
    </x:xf>
    <x:xf numFmtId="0" fontId="1" fillId="6" borderId="44" xfId="0" applyNumberFormat="1" applyFont="1" applyFill="1" applyBorder="1" applyAlignment="1">
      <x:alignment horizontal="center" vertical="center" wrapText="1"/>
    </x:xf>
    <x:xf numFmtId="201" fontId="1" fillId="6" borderId="44" xfId="0" applyNumberFormat="1" applyFont="1" applyFill="1" applyBorder="1" applyAlignment="1">
      <x:alignment horizontal="center" vertical="center" wrapText="1"/>
    </x:xf>
    <x:xf numFmtId="0" fontId="16" fillId="5" borderId="0" xfId="0" applyNumberFormat="1" applyFont="1" applyFill="1" applyBorder="1" applyAlignment="1">
      <x:alignment vertical="center"/>
    </x:xf>
    <x:xf numFmtId="0" fontId="16" fillId="5" borderId="12" xfId="0" applyNumberFormat="1" applyFont="1" applyFill="1" applyBorder="1" applyAlignment="1">
      <x:alignment vertical="center"/>
    </x:xf>
    <x:xf numFmtId="0" fontId="16" fillId="5" borderId="13" xfId="0" applyNumberFormat="1" applyFont="1" applyFill="1" applyBorder="1" applyAlignment="1">
      <x:alignment vertical="center"/>
    </x:xf>
    <x:xf numFmtId="0" fontId="16" fillId="5" borderId="14" xfId="0" applyNumberFormat="1" applyFont="1" applyFill="1" applyBorder="1" applyAlignment="1">
      <x:alignment vertical="center"/>
    </x:xf>
    <x:xf numFmtId="0" fontId="16" fillId="5" borderId="15" xfId="0" applyNumberFormat="1" applyFont="1" applyFill="1" applyBorder="1" applyAlignment="1">
      <x:alignment vertical="center"/>
    </x:xf>
    <x:xf numFmtId="0" fontId="16" fillId="5" borderId="16" xfId="0" applyNumberFormat="1" applyFont="1" applyFill="1" applyBorder="1" applyAlignment="1">
      <x:alignment vertical="center"/>
    </x:xf>
    <x:xf numFmtId="0" fontId="16" fillId="5" borderId="17" xfId="0" applyNumberFormat="1" applyFont="1" applyFill="1" applyBorder="1" applyAlignment="1">
      <x:alignment vertical="center"/>
    </x:xf>
    <x:xf numFmtId="0" fontId="16" fillId="5" borderId="18" xfId="0" applyNumberFormat="1" applyFont="1" applyFill="1" applyBorder="1" applyAlignment="1">
      <x:alignment vertical="center"/>
    </x:xf>
    <x:xf numFmtId="0" fontId="16" fillId="5" borderId="19" xfId="0" applyNumberFormat="1" applyFont="1" applyFill="1" applyBorder="1" applyAlignment="1">
      <x:alignment vertical="center"/>
    </x:xf>
    <x:xf numFmtId="0" fontId="16" fillId="5" borderId="12" xfId="0" applyNumberFormat="1" applyFont="1" applyFill="1" applyBorder="1" applyAlignment="1">
      <x:alignment vertical="center" wrapText="1"/>
    </x:xf>
    <x:xf numFmtId="0" fontId="16" fillId="5" borderId="13" xfId="0" applyNumberFormat="1" applyFont="1" applyFill="1" applyBorder="1" applyAlignment="1">
      <x:alignment vertical="center" wrapText="1"/>
    </x:xf>
    <x:xf numFmtId="0" fontId="16" fillId="5" borderId="14" xfId="0" applyNumberFormat="1" applyFont="1" applyFill="1" applyBorder="1" applyAlignment="1">
      <x:alignment vertical="center" wrapText="1"/>
    </x:xf>
    <x:xf numFmtId="0" fontId="16" fillId="5" borderId="15" xfId="0" applyNumberFormat="1" applyFont="1" applyFill="1" applyBorder="1" applyAlignment="1">
      <x:alignment vertical="center" wrapText="1"/>
    </x:xf>
    <x:xf numFmtId="0" fontId="16" fillId="5" borderId="0" xfId="0" applyNumberFormat="1" applyFont="1" applyFill="1" applyBorder="1" applyAlignment="1">
      <x:alignment vertical="center" wrapText="1"/>
    </x:xf>
    <x:xf numFmtId="0" fontId="16" fillId="5" borderId="16" xfId="0" applyNumberFormat="1" applyFont="1" applyFill="1" applyBorder="1" applyAlignment="1">
      <x:alignment vertical="center" wrapText="1"/>
    </x:xf>
    <x:xf numFmtId="0" fontId="16" fillId="5" borderId="17" xfId="0" applyNumberFormat="1" applyFont="1" applyFill="1" applyBorder="1" applyAlignment="1">
      <x:alignment vertical="center" wrapText="1"/>
    </x:xf>
    <x:xf numFmtId="0" fontId="16" fillId="5" borderId="18" xfId="0" applyNumberFormat="1" applyFont="1" applyFill="1" applyBorder="1" applyAlignment="1">
      <x:alignment vertical="center" wrapText="1"/>
    </x:xf>
    <x:xf numFmtId="0" fontId="16" fillId="5" borderId="19" xfId="0" applyNumberFormat="1" applyFont="1" applyFill="1" applyBorder="1" applyAlignment="1">
      <x:alignment vertical="center" wrapText="1"/>
    </x:xf>
    <x:xf numFmtId="0" fontId="16" fillId="5" borderId="12" xfId="0" applyNumberFormat="1" applyFont="1" applyFill="1" applyBorder="1" applyAlignment="1">
      <x:alignment horizontal="left" vertical="center" wrapText="1"/>
    </x:xf>
    <x:xf numFmtId="0" fontId="16" fillId="5" borderId="13" xfId="0" applyNumberFormat="1" applyFont="1" applyFill="1" applyBorder="1" applyAlignment="1">
      <x:alignment horizontal="left" vertical="center" wrapText="1"/>
    </x:xf>
    <x:xf numFmtId="0" fontId="16" fillId="5" borderId="14" xfId="0" applyNumberFormat="1" applyFont="1" applyFill="1" applyBorder="1" applyAlignment="1">
      <x:alignment horizontal="left" vertical="center" wrapText="1"/>
    </x:xf>
    <x:xf numFmtId="0" fontId="16" fillId="5" borderId="15" xfId="0" applyNumberFormat="1" applyFont="1" applyFill="1" applyBorder="1" applyAlignment="1">
      <x:alignment horizontal="left" vertical="center" wrapText="1"/>
    </x:xf>
    <x:xf numFmtId="0" fontId="16" fillId="5" borderId="0" xfId="0" applyNumberFormat="1" applyFont="1" applyFill="1" applyBorder="1" applyAlignment="1">
      <x:alignment horizontal="left" vertical="center" wrapText="1"/>
    </x:xf>
    <x:xf numFmtId="0" fontId="16" fillId="5" borderId="16" xfId="0" applyNumberFormat="1" applyFont="1" applyFill="1" applyBorder="1" applyAlignment="1">
      <x:alignment horizontal="left" vertical="center" wrapText="1"/>
    </x:xf>
    <x:xf numFmtId="0" fontId="16" fillId="5" borderId="17" xfId="0" applyNumberFormat="1" applyFont="1" applyFill="1" applyBorder="1" applyAlignment="1">
      <x:alignment horizontal="left" vertical="center" wrapText="1"/>
    </x:xf>
    <x:xf numFmtId="0" fontId="16" fillId="5" borderId="18" xfId="0" applyNumberFormat="1" applyFont="1" applyFill="1" applyBorder="1" applyAlignment="1">
      <x:alignment horizontal="left" vertical="center" wrapText="1"/>
    </x:xf>
    <x:xf numFmtId="0" fontId="16" fillId="5" borderId="19" xfId="0" applyNumberFormat="1" applyFont="1" applyFill="1" applyBorder="1" applyAlignment="1">
      <x:alignment horizontal="left" vertical="center" wrapText="1"/>
    </x:xf>
    <x:xf numFmtId="0" fontId="1" fillId="12" borderId="44" xfId="0" applyNumberFormat="1" applyFont="1" applyFill="1" applyBorder="1" applyAlignment="1">
      <x:alignment horizontal="center" vertical="center" wrapText="1"/>
    </x:xf>
    <x:xf numFmtId="200" fontId="1" fillId="12" borderId="44" xfId="0" applyNumberFormat="1" applyFont="1" applyFill="1" applyBorder="1" applyAlignment="1">
      <x:alignment horizontal="center" vertical="center" wrapText="1"/>
    </x:xf>
    <x:xf numFmtId="201" fontId="1" fillId="12" borderId="44" xfId="0" applyNumberFormat="1" applyFont="1" applyFill="1" applyBorder="1" applyAlignment="1">
      <x:alignment horizontal="center" vertical="center" wrapText="1"/>
    </x:xf>
    <x:xf numFmtId="0" fontId="1" fillId="13" borderId="28" xfId="0" applyNumberFormat="1" applyFont="1" applyFill="1" applyBorder="1" applyAlignment="1">
      <x:alignment vertical="center"/>
    </x:xf>
    <x:xf numFmtId="0" fontId="1" fillId="13" borderId="29" xfId="0" applyNumberFormat="1" applyFont="1" applyFill="1" applyBorder="1" applyAlignment="1">
      <x:alignment vertical="center"/>
    </x:xf>
    <x:xf numFmtId="0" fontId="1" fillId="13" borderId="30" xfId="0" applyNumberFormat="1" applyFont="1" applyFill="1" applyBorder="1" applyAlignment="1">
      <x:alignment vertical="center"/>
    </x:xf>
    <x:xf numFmtId="0" fontId="1" fillId="13" borderId="31" xfId="0" applyNumberFormat="1" applyFont="1" applyFill="1" applyBorder="1" applyAlignment="1">
      <x:alignment vertical="center"/>
    </x:xf>
    <x:xf numFmtId="0" fontId="1" fillId="13" borderId="32" xfId="0" applyNumberFormat="1" applyFont="1" applyFill="1" applyBorder="1" applyAlignment="1">
      <x:alignment vertical="center"/>
    </x:xf>
    <x:xf numFmtId="0" fontId="1" fillId="13" borderId="33" xfId="0" applyNumberFormat="1" applyFont="1" applyFill="1" applyBorder="1" applyAlignment="1">
      <x:alignment vertical="center"/>
    </x:xf>
    <x:xf numFmtId="0" fontId="1" fillId="13" borderId="34" xfId="0" applyNumberFormat="1" applyFont="1" applyFill="1" applyBorder="1" applyAlignment="1">
      <x:alignment vertical="center"/>
    </x:xf>
    <x:xf numFmtId="0" fontId="1" fillId="13" borderId="35" xfId="0" applyNumberFormat="1" applyFont="1" applyFill="1" applyBorder="1" applyAlignment="1">
      <x:alignment vertical="center"/>
    </x:xf>
    <x:xf numFmtId="0" fontId="1" fillId="13" borderId="28" xfId="0" applyNumberFormat="1" applyFont="1" applyFill="1" applyBorder="1" applyAlignment="1">
      <x:alignment vertical="center" wrapText="1"/>
    </x:xf>
    <x:xf numFmtId="0" fontId="1" fillId="13" borderId="29" xfId="0" applyNumberFormat="1" applyFont="1" applyFill="1" applyBorder="1" applyAlignment="1">
      <x:alignment vertical="center" wrapText="1"/>
    </x:xf>
    <x:xf numFmtId="0" fontId="1" fillId="13" borderId="30" xfId="0" applyNumberFormat="1" applyFont="1" applyFill="1" applyBorder="1" applyAlignment="1">
      <x:alignment vertical="center" wrapText="1"/>
    </x:xf>
    <x:xf numFmtId="0" fontId="1" fillId="13" borderId="31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1" fillId="13" borderId="32" xfId="0" applyNumberFormat="1" applyFont="1" applyFill="1" applyBorder="1" applyAlignment="1">
      <x:alignment vertical="center" wrapText="1"/>
    </x:xf>
    <x:xf numFmtId="0" fontId="1" fillId="13" borderId="33" xfId="0" applyNumberFormat="1" applyFont="1" applyFill="1" applyBorder="1" applyAlignment="1">
      <x:alignment vertical="center" wrapText="1"/>
    </x:xf>
    <x:xf numFmtId="0" fontId="1" fillId="13" borderId="34" xfId="0" applyNumberFormat="1" applyFont="1" applyFill="1" applyBorder="1" applyAlignment="1">
      <x:alignment vertical="center" wrapText="1"/>
    </x:xf>
    <x:xf numFmtId="0" fontId="1" fillId="13" borderId="35" xfId="0" applyNumberFormat="1" applyFont="1" applyFill="1" applyBorder="1" applyAlignment="1">
      <x:alignment vertical="center" wrapText="1"/>
    </x:xf>
    <x:xf numFmtId="0" fontId="1" fillId="13" borderId="28" xfId="0" applyNumberFormat="1" applyFont="1" applyFill="1" applyBorder="1" applyAlignment="1">
      <x:alignment horizontal="left" vertical="center" wrapText="1"/>
    </x:xf>
    <x:xf numFmtId="0" fontId="1" fillId="13" borderId="29" xfId="0" applyNumberFormat="1" applyFont="1" applyFill="1" applyBorder="1" applyAlignment="1">
      <x:alignment horizontal="left" vertical="center" wrapText="1"/>
    </x:xf>
    <x:xf numFmtId="0" fontId="1" fillId="13" borderId="30" xfId="0" applyNumberFormat="1" applyFont="1" applyFill="1" applyBorder="1" applyAlignment="1">
      <x:alignment horizontal="left" vertical="center" wrapText="1"/>
    </x:xf>
    <x:xf numFmtId="0" fontId="1" fillId="13" borderId="31" xfId="0" applyNumberFormat="1" applyFont="1" applyFill="1" applyBorder="1" applyAlignment="1">
      <x:alignment horizontal="left" vertical="center" wrapText="1"/>
    </x:xf>
    <x:xf numFmtId="0" fontId="1" fillId="13" borderId="0" xfId="0" applyNumberFormat="1" applyFont="1" applyFill="1" applyBorder="1" applyAlignment="1">
      <x:alignment horizontal="left" vertical="center" wrapText="1"/>
    </x:xf>
    <x:xf numFmtId="0" fontId="1" fillId="13" borderId="32" xfId="0" applyNumberFormat="1" applyFont="1" applyFill="1" applyBorder="1" applyAlignment="1">
      <x:alignment horizontal="left" vertical="center" wrapText="1"/>
    </x:xf>
    <x:xf numFmtId="0" fontId="1" fillId="13" borderId="33" xfId="0" applyNumberFormat="1" applyFont="1" applyFill="1" applyBorder="1" applyAlignment="1">
      <x:alignment horizontal="left" vertical="center" wrapText="1"/>
    </x:xf>
    <x:xf numFmtId="0" fontId="1" fillId="13" borderId="34" xfId="0" applyNumberFormat="1" applyFont="1" applyFill="1" applyBorder="1" applyAlignment="1">
      <x:alignment horizontal="left" vertical="center" wrapText="1"/>
    </x:xf>
    <x:xf numFmtId="0" fontId="1" fillId="13" borderId="35" xfId="0" applyNumberFormat="1" applyFont="1" applyFill="1" applyBorder="1" applyAlignment="1">
      <x:alignment horizontal="left" vertical="center" wrapText="1"/>
    </x:xf>
    <x:xf numFmtId="0" fontId="5" fillId="13" borderId="28" xfId="0" applyNumberFormat="1" applyFont="1" applyFill="1" applyBorder="1" applyAlignment="1">
      <x:alignment horizontal="center" vertical="center" wrapText="1"/>
    </x:xf>
    <x:xf numFmtId="0" fontId="5" fillId="13" borderId="29" xfId="0" applyNumberFormat="1" applyFont="1" applyFill="1" applyBorder="1" applyAlignment="1">
      <x:alignment horizontal="center" vertical="center" wrapText="1"/>
    </x:xf>
    <x:xf numFmtId="0" fontId="5" fillId="13" borderId="30" xfId="0" applyNumberFormat="1" applyFont="1" applyFill="1" applyBorder="1" applyAlignment="1">
      <x:alignment horizontal="center" vertical="center" wrapText="1"/>
    </x:xf>
    <x:xf numFmtId="0" fontId="5" fillId="13" borderId="33" xfId="0" applyNumberFormat="1" applyFont="1" applyFill="1" applyBorder="1" applyAlignment="1">
      <x:alignment horizontal="center" vertical="center" wrapText="1"/>
    </x:xf>
    <x:xf numFmtId="0" fontId="5" fillId="13" borderId="34" xfId="0" applyNumberFormat="1" applyFont="1" applyFill="1" applyBorder="1" applyAlignment="1">
      <x:alignment horizontal="center" vertical="center" wrapText="1"/>
    </x:xf>
    <x:xf numFmtId="0" fontId="5" fillId="13" borderId="35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vertical="center"/>
    </x:xf>
    <x:xf numFmtId="0" fontId="4" fillId="9" borderId="59" xfId="0" applyNumberFormat="1" applyFont="1" applyFill="1" applyBorder="1" applyAlignment="1">
      <x:alignment vertical="center"/>
    </x:xf>
    <x:xf numFmtId="0" fontId="4" fillId="9" borderId="60" xfId="0" applyNumberFormat="1" applyFont="1" applyFill="1" applyBorder="1" applyAlignment="1">
      <x:alignment vertical="center"/>
    </x:xf>
    <x:xf numFmtId="0" fontId="4" fillId="9" borderId="61" xfId="0" applyNumberFormat="1" applyFont="1" applyFill="1" applyBorder="1" applyAlignment="1">
      <x:alignment vertical="center"/>
    </x:xf>
    <x:xf numFmtId="0" fontId="4" fillId="9" borderId="59" xfId="0" applyNumberFormat="1" applyFont="1" applyFill="1" applyBorder="1" applyAlignment="1">
      <x:alignment vertical="center" wrapText="1"/>
    </x:xf>
    <x:xf numFmtId="0" fontId="4" fillId="9" borderId="60" xfId="0" applyNumberFormat="1" applyFont="1" applyFill="1" applyBorder="1" applyAlignment="1">
      <x:alignment vertical="center" wrapText="1"/>
    </x:xf>
    <x:xf numFmtId="0" fontId="4" fillId="9" borderId="61" xfId="0" applyNumberFormat="1" applyFont="1" applyFill="1" applyBorder="1" applyAlignment="1">
      <x:alignment vertical="center" wrapText="1"/>
    </x:xf>
    <x:xf numFmtId="0" fontId="4" fillId="9" borderId="59" xfId="0" applyNumberFormat="1" applyFont="1" applyFill="1" applyBorder="1" applyAlignment="1">
      <x:alignment horizontal="left" vertical="center" wrapText="1"/>
    </x:xf>
    <x:xf numFmtId="0" fontId="4" fillId="9" borderId="60" xfId="0" applyNumberFormat="1" applyFont="1" applyFill="1" applyBorder="1" applyAlignment="1">
      <x:alignment horizontal="left" vertical="center" wrapText="1"/>
    </x:xf>
    <x:xf numFmtId="0" fontId="4" fillId="9" borderId="61" xfId="0" applyNumberFormat="1" applyFont="1" applyFill="1" applyBorder="1" applyAlignment="1">
      <x:alignment horizontal="left" vertical="center" wrapText="1"/>
    </x:xf>
    <x:xf numFmtId="0" fontId="13" fillId="6" borderId="0" xfId="0" applyNumberFormat="1" applyFont="1" applyFill="1" applyBorder="1" applyAlignment="1">
      <x:alignment vertical="center"/>
    </x:xf>
    <x:xf numFmtId="0" fontId="13" fillId="6" borderId="44" xfId="0" applyNumberFormat="1" applyFont="1" applyFill="1" applyBorder="1" applyAlignment="1">
      <x:alignment vertical="center"/>
    </x:xf>
    <x:xf numFmtId="0" fontId="13" fillId="6" borderId="44" xfId="0" applyNumberFormat="1" applyFont="1" applyFill="1" applyBorder="1" applyAlignment="1">
      <x:alignment vertical="center" wrapText="1"/>
    </x:xf>
    <x:xf numFmtId="0" fontId="13" fillId="6" borderId="44" xfId="0" applyNumberFormat="1" applyFont="1" applyFill="1" applyBorder="1" applyAlignment="1">
      <x:alignment horizontal="center" vertical="center" wrapText="1"/>
    </x:xf>
    <x:xf numFmtId="0" fontId="17" fillId="6" borderId="0" xfId="0" applyNumberFormat="1" applyFont="1" applyFill="1" applyBorder="1" applyAlignment="1">
      <x:alignment vertical="center"/>
    </x:xf>
    <x:xf numFmtId="0" fontId="17" fillId="6" borderId="44" xfId="0" applyNumberFormat="1" applyFont="1" applyFill="1" applyBorder="1" applyAlignment="1">
      <x:alignment vertical="center"/>
    </x:xf>
    <x:xf numFmtId="0" fontId="17" fillId="6" borderId="44" xfId="0" applyNumberFormat="1" applyFont="1" applyFill="1" applyBorder="1" applyAlignment="1">
      <x:alignment vertical="center" wrapText="1"/>
    </x:xf>
    <x:xf numFmtId="0" fontId="17" fillId="6" borderId="44" xfId="0" applyNumberFormat="1" applyFont="1" applyFill="1" applyBorder="1" applyAlignment="1">
      <x:alignment horizontal="center" vertical="center" wrapText="1"/>
    </x:xf>
    <x:xf numFmtId="0" fontId="18" fillId="6" borderId="0" xfId="0" applyNumberFormat="1" applyFont="1" applyFill="1" applyBorder="1" applyAlignment="1">
      <x:alignment vertical="center"/>
    </x:xf>
    <x:xf numFmtId="0" fontId="18" fillId="6" borderId="44" xfId="0" applyNumberFormat="1" applyFont="1" applyFill="1" applyBorder="1" applyAlignment="1">
      <x:alignment vertical="center"/>
    </x:xf>
    <x:xf numFmtId="0" fontId="18" fillId="6" borderId="44" xfId="0" applyNumberFormat="1" applyFont="1" applyFill="1" applyBorder="1" applyAlignment="1">
      <x:alignment vertical="center" wrapText="1"/>
    </x:xf>
    <x:xf numFmtId="0" fontId="18" fillId="6" borderId="44" xfId="0" applyNumberFormat="1" applyFont="1" applyFill="1" applyBorder="1" applyAlignment="1">
      <x:alignment horizontal="center" vertical="center" wrapText="1"/>
    </x:xf>
    <x:xf numFmtId="0" fontId="17" fillId="11" borderId="0" xfId="0" applyNumberFormat="1" applyFont="1" applyFill="1" applyBorder="1" applyAlignment="1">
      <x:alignment vertical="center"/>
    </x:xf>
    <x:xf numFmtId="0" fontId="17" fillId="11" borderId="44" xfId="0" applyNumberFormat="1" applyFont="1" applyFill="1" applyBorder="1" applyAlignment="1">
      <x:alignment vertical="center"/>
    </x:xf>
    <x:xf numFmtId="0" fontId="17" fillId="11" borderId="44" xfId="0" applyNumberFormat="1" applyFont="1" applyFill="1" applyBorder="1" applyAlignment="1">
      <x:alignment vertical="center" wrapText="1"/>
    </x:xf>
    <x:xf numFmtId="0" fontId="17" fillId="11" borderId="44" xfId="0" applyNumberFormat="1" applyFont="1" applyFill="1" applyBorder="1" applyAlignment="1">
      <x:alignment horizontal="center" vertical="center" wrapText="1"/>
    </x:xf>
    <x:xf numFmtId="0" fontId="18" fillId="11" borderId="0" xfId="0" applyNumberFormat="1" applyFont="1" applyFill="1" applyBorder="1" applyAlignment="1">
      <x:alignment vertical="center"/>
    </x:xf>
    <x:xf numFmtId="0" fontId="18" fillId="11" borderId="44" xfId="0" applyNumberFormat="1" applyFont="1" applyFill="1" applyBorder="1" applyAlignment="1">
      <x:alignment vertical="center"/>
    </x:xf>
    <x:xf numFmtId="0" fontId="18" fillId="11" borderId="44" xfId="0" applyNumberFormat="1" applyFont="1" applyFill="1" applyBorder="1" applyAlignment="1">
      <x:alignment vertical="center" wrapText="1"/>
    </x:xf>
    <x:xf numFmtId="0" fontId="18" fillId="11" borderId="44" xfId="0" applyNumberFormat="1" applyFont="1" applyFill="1" applyBorder="1" applyAlignment="1">
      <x:alignment horizontal="center" vertical="center" wrapText="1"/>
    </x:xf>
    <x:xf numFmtId="0" fontId="19" fillId="12" borderId="0" xfId="0" applyNumberFormat="1" applyFont="1" applyFill="1" applyBorder="1" applyAlignment="1">
      <x:alignment vertical="center"/>
    </x:xf>
    <x:xf numFmtId="0" fontId="19" fillId="12" borderId="44" xfId="0" applyNumberFormat="1" applyFont="1" applyFill="1" applyBorder="1" applyAlignment="1">
      <x:alignment vertical="center"/>
    </x:xf>
    <x:xf numFmtId="0" fontId="19" fillId="12" borderId="44" xfId="0" applyNumberFormat="1" applyFont="1" applyFill="1" applyBorder="1" applyAlignment="1">
      <x:alignment vertical="center" wrapText="1"/>
    </x:xf>
    <x:xf numFmtId="0" fontId="19" fillId="12" borderId="44" xfId="0" applyNumberFormat="1" applyFont="1" applyFill="1" applyBorder="1" applyAlignment="1">
      <x:alignment horizontal="center" vertical="center" wrapText="1"/>
    </x:xf>
    <x:xf numFmtId="0" fontId="13" fillId="12" borderId="0" xfId="0" applyNumberFormat="1" applyFont="1" applyFill="1" applyBorder="1" applyAlignment="1">
      <x:alignment vertical="center"/>
    </x:xf>
    <x:xf numFmtId="0" fontId="13" fillId="12" borderId="44" xfId="0" applyNumberFormat="1" applyFont="1" applyFill="1" applyBorder="1" applyAlignment="1">
      <x:alignment vertical="center"/>
    </x:xf>
    <x:xf numFmtId="0" fontId="13" fillId="12" borderId="44" xfId="0" applyNumberFormat="1" applyFont="1" applyFill="1" applyBorder="1" applyAlignment="1">
      <x:alignment vertical="center" wrapText="1"/>
    </x:xf>
    <x:xf numFmtId="0" fontId="13" fillId="12" borderId="44" xfId="0" applyNumberFormat="1" applyFont="1" applyFill="1" applyBorder="1" applyAlignment="1">
      <x:alignment horizontal="center" vertical="center" wrapText="1"/>
    </x:xf>
    <x:xf numFmtId="0" fontId="17" fillId="12" borderId="0" xfId="0" applyNumberFormat="1" applyFont="1" applyFill="1" applyBorder="1" applyAlignment="1">
      <x:alignment vertical="center"/>
    </x:xf>
    <x:xf numFmtId="0" fontId="17" fillId="12" borderId="44" xfId="0" applyNumberFormat="1" applyFont="1" applyFill="1" applyBorder="1" applyAlignment="1">
      <x:alignment vertical="center"/>
    </x:xf>
    <x:xf numFmtId="0" fontId="17" fillId="12" borderId="44" xfId="0" applyNumberFormat="1" applyFont="1" applyFill="1" applyBorder="1" applyAlignment="1">
      <x:alignment vertical="center" wrapText="1"/>
    </x:xf>
    <x:xf numFmtId="0" fontId="17" fillId="12" borderId="44" xfId="0" applyNumberFormat="1" applyFont="1" applyFill="1" applyBorder="1" applyAlignment="1">
      <x:alignment horizontal="center" vertical="center" wrapText="1"/>
    </x:xf>
    <x:xf numFmtId="0" fontId="20" fillId="12" borderId="0" xfId="0" applyNumberFormat="1" applyFont="1" applyFill="1" applyBorder="1" applyAlignment="1">
      <x:alignment vertical="center"/>
    </x:xf>
    <x:xf numFmtId="0" fontId="20" fillId="12" borderId="44" xfId="0" applyNumberFormat="1" applyFont="1" applyFill="1" applyBorder="1" applyAlignment="1">
      <x:alignment vertical="center"/>
    </x:xf>
    <x:xf numFmtId="0" fontId="20" fillId="12" borderId="44" xfId="0" applyNumberFormat="1" applyFont="1" applyFill="1" applyBorder="1" applyAlignment="1">
      <x:alignment vertical="center" wrapText="1"/>
    </x:xf>
    <x:xf numFmtId="0" fontId="20" fillId="12" borderId="44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vertical="center"/>
    </x:xf>
    <x:xf numFmtId="0" fontId="19" fillId="5" borderId="44" xfId="0" applyNumberFormat="1" applyFont="1" applyFill="1" applyBorder="1" applyAlignment="1">
      <x:alignment vertical="center"/>
    </x:xf>
    <x:xf numFmtId="0" fontId="19" fillId="5" borderId="44" xfId="0" applyNumberFormat="1" applyFont="1" applyFill="1" applyBorder="1" applyAlignment="1">
      <x:alignment vertical="center" wrapText="1"/>
    </x:xf>
    <x:xf numFmtId="0" fontId="19" fillId="5" borderId="44" xfId="0" applyNumberFormat="1" applyFont="1" applyFill="1" applyBorder="1" applyAlignment="1">
      <x:alignment horizontal="center" vertical="center" wrapText="1"/>
    </x:xf>
    <x:xf numFmtId="0" fontId="17" fillId="5" borderId="0" xfId="0" applyNumberFormat="1" applyFont="1" applyFill="1" applyBorder="1" applyAlignment="1">
      <x:alignment vertical="center"/>
    </x:xf>
    <x:xf numFmtId="0" fontId="17" fillId="5" borderId="44" xfId="0" applyNumberFormat="1" applyFont="1" applyFill="1" applyBorder="1" applyAlignment="1">
      <x:alignment vertical="center"/>
    </x:xf>
    <x:xf numFmtId="0" fontId="17" fillId="5" borderId="44" xfId="0" applyNumberFormat="1" applyFont="1" applyFill="1" applyBorder="1" applyAlignment="1">
      <x:alignment vertical="center" wrapText="1"/>
    </x:xf>
    <x:xf numFmtId="0" fontId="17" fillId="5" borderId="44" xfId="0" applyNumberFormat="1" applyFont="1" applyFill="1" applyBorder="1" applyAlignment="1">
      <x:alignment horizontal="center" vertical="center" wrapText="1"/>
    </x:xf>
    <x:xf numFmtId="0" fontId="20" fillId="5" borderId="0" xfId="0" applyNumberFormat="1" applyFont="1" applyFill="1" applyBorder="1" applyAlignment="1">
      <x:alignment vertical="center"/>
    </x:xf>
    <x:xf numFmtId="0" fontId="20" fillId="5" borderId="44" xfId="0" applyNumberFormat="1" applyFont="1" applyFill="1" applyBorder="1" applyAlignment="1">
      <x:alignment vertical="center"/>
    </x:xf>
    <x:xf numFmtId="0" fontId="20" fillId="5" borderId="44" xfId="0" applyNumberFormat="1" applyFont="1" applyFill="1" applyBorder="1" applyAlignment="1">
      <x:alignment vertical="center" wrapText="1"/>
    </x:xf>
    <x:xf numFmtId="0" fontId="20" fillId="5" borderId="44" xfId="0" applyNumberFormat="1" applyFont="1" applyFill="1" applyBorder="1" applyAlignment="1">
      <x:alignment horizontal="center" vertical="center" wrapText="1"/>
    </x:xf>
    <x:xf numFmtId="0" fontId="10" fillId="13" borderId="0" xfId="0" applyNumberFormat="1" applyFont="1" applyFill="1" applyBorder="1" applyAlignment="1">
      <x:alignment vertical="center"/>
    </x:xf>
    <x:xf numFmtId="0" fontId="10" fillId="13" borderId="44" xfId="0" applyNumberFormat="1" applyFont="1" applyFill="1" applyBorder="1" applyAlignment="1">
      <x:alignment vertical="center"/>
    </x:xf>
    <x:xf numFmtId="0" fontId="10" fillId="13" borderId="44" xfId="0" applyNumberFormat="1" applyFont="1" applyFill="1" applyBorder="1" applyAlignment="1">
      <x:alignment vertical="center" wrapText="1"/>
    </x:xf>
    <x:xf numFmtId="0" fontId="10" fillId="13" borderId="44" xfId="0" applyNumberFormat="1" applyFont="1" applyFill="1" applyBorder="1" applyAlignment="1">
      <x:alignment horizontal="center" vertical="center" wrapText="1"/>
    </x:xf>
    <x:xf numFmtId="0" fontId="1" fillId="13" borderId="44" xfId="0" applyNumberFormat="1" applyFont="1" applyFill="1" applyBorder="1" applyAlignment="1">
      <x:alignment vertical="center"/>
    </x:xf>
    <x:xf numFmtId="0" fontId="1" fillId="13" borderId="44" xfId="0" applyNumberFormat="1" applyFont="1" applyFill="1" applyBorder="1" applyAlignment="1">
      <x:alignment vertical="center" wrapText="1"/>
    </x:xf>
    <x:xf numFmtId="0" fontId="1" fillId="13" borderId="44" xfId="0" applyNumberFormat="1" applyFont="1" applyFill="1" applyBorder="1" applyAlignment="1">
      <x:alignment horizontal="left" vertical="center" wrapText="1"/>
    </x:xf>
    <x:xf numFmtId="0" fontId="21" fillId="13" borderId="0" xfId="0" applyNumberFormat="1" applyFont="1" applyFill="1" applyBorder="1" applyAlignment="1">
      <x:alignment vertical="center"/>
    </x:xf>
    <x:xf numFmtId="0" fontId="21" fillId="13" borderId="44" xfId="0" applyNumberFormat="1" applyFont="1" applyFill="1" applyBorder="1" applyAlignment="1">
      <x:alignment vertical="center"/>
    </x:xf>
    <x:xf numFmtId="0" fontId="21" fillId="13" borderId="44" xfId="0" applyNumberFormat="1" applyFont="1" applyFill="1" applyBorder="1" applyAlignment="1">
      <x:alignment vertical="center" wrapText="1"/>
    </x:xf>
    <x:xf numFmtId="0" fontId="21" fillId="13" borderId="44" xfId="0" applyNumberFormat="1" applyFont="1" applyFill="1" applyBorder="1" applyAlignment="1">
      <x:alignment horizontal="center" vertical="center" wrapText="1"/>
    </x:xf>
    <x:xf numFmtId="0" fontId="21" fillId="11" borderId="0" xfId="0" applyNumberFormat="1" applyFont="1" applyFill="1" applyBorder="1" applyAlignment="1">
      <x:alignment vertical="center"/>
    </x:xf>
    <x:xf numFmtId="0" fontId="21" fillId="11" borderId="44" xfId="0" applyNumberFormat="1" applyFont="1" applyFill="1" applyBorder="1" applyAlignment="1">
      <x:alignment vertical="center"/>
    </x:xf>
    <x:xf numFmtId="0" fontId="21" fillId="11" borderId="44" xfId="0" applyNumberFormat="1" applyFont="1" applyFill="1" applyBorder="1" applyAlignment="1">
      <x:alignment vertical="center" wrapText="1"/>
    </x:xf>
    <x:xf numFmtId="0" fontId="21" fillId="11" borderId="44" xfId="0" applyNumberFormat="1" applyFont="1" applyFill="1" applyBorder="1" applyAlignment="1">
      <x:alignment horizontal="center" vertical="center" wrapText="1"/>
    </x:xf>
    <x:xf numFmtId="0" fontId="5" fillId="12" borderId="0" xfId="0" applyNumberFormat="1" applyFont="1" applyFill="1" applyBorder="1" applyAlignment="1">
      <x:alignment vertical="center"/>
    </x:xf>
    <x:xf numFmtId="0" fontId="5" fillId="12" borderId="45" xfId="0" applyNumberFormat="1" applyFont="1" applyFill="1" applyBorder="1" applyAlignment="1">
      <x:alignment vertical="center"/>
    </x:xf>
    <x:xf numFmtId="0" fontId="5" fillId="12" borderId="46" xfId="0" applyNumberFormat="1" applyFont="1" applyFill="1" applyBorder="1" applyAlignment="1">
      <x:alignment vertical="center"/>
    </x:xf>
    <x:xf numFmtId="0" fontId="5" fillId="12" borderId="47" xfId="0" applyNumberFormat="1" applyFont="1" applyFill="1" applyBorder="1" applyAlignment="1">
      <x:alignment vertical="center"/>
    </x:xf>
    <x:xf numFmtId="0" fontId="5" fillId="12" borderId="48" xfId="0" applyNumberFormat="1" applyFont="1" applyFill="1" applyBorder="1" applyAlignment="1">
      <x:alignment vertical="center"/>
    </x:xf>
    <x:xf numFmtId="0" fontId="5" fillId="12" borderId="49" xfId="0" applyNumberFormat="1" applyFont="1" applyFill="1" applyBorder="1" applyAlignment="1">
      <x:alignment vertical="center"/>
    </x:xf>
    <x:xf numFmtId="0" fontId="5" fillId="12" borderId="50" xfId="0" applyNumberFormat="1" applyFont="1" applyFill="1" applyBorder="1" applyAlignment="1">
      <x:alignment vertical="center"/>
    </x:xf>
    <x:xf numFmtId="0" fontId="5" fillId="12" borderId="51" xfId="0" applyNumberFormat="1" applyFont="1" applyFill="1" applyBorder="1" applyAlignment="1">
      <x:alignment vertical="center"/>
    </x:xf>
    <x:xf numFmtId="0" fontId="5" fillId="12" borderId="52" xfId="0" applyNumberFormat="1" applyFont="1" applyFill="1" applyBorder="1" applyAlignment="1">
      <x:alignment vertical="center"/>
    </x:xf>
    <x:xf numFmtId="0" fontId="5" fillId="12" borderId="45" xfId="0" applyNumberFormat="1" applyFont="1" applyFill="1" applyBorder="1" applyAlignment="1">
      <x:alignment vertical="center" wrapText="1"/>
    </x:xf>
    <x:xf numFmtId="0" fontId="5" fillId="12" borderId="46" xfId="0" applyNumberFormat="1" applyFont="1" applyFill="1" applyBorder="1" applyAlignment="1">
      <x:alignment vertical="center" wrapText="1"/>
    </x:xf>
    <x:xf numFmtId="0" fontId="5" fillId="12" borderId="47" xfId="0" applyNumberFormat="1" applyFont="1" applyFill="1" applyBorder="1" applyAlignment="1">
      <x:alignment vertical="center" wrapText="1"/>
    </x:xf>
    <x:xf numFmtId="0" fontId="5" fillId="12" borderId="48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  <x:xf numFmtId="0" fontId="5" fillId="12" borderId="49" xfId="0" applyNumberFormat="1" applyFont="1" applyFill="1" applyBorder="1" applyAlignment="1">
      <x:alignment vertical="center" wrapText="1"/>
    </x:xf>
    <x:xf numFmtId="0" fontId="5" fillId="12" borderId="50" xfId="0" applyNumberFormat="1" applyFont="1" applyFill="1" applyBorder="1" applyAlignment="1">
      <x:alignment vertical="center" wrapText="1"/>
    </x:xf>
    <x:xf numFmtId="0" fontId="5" fillId="12" borderId="51" xfId="0" applyNumberFormat="1" applyFont="1" applyFill="1" applyBorder="1" applyAlignment="1">
      <x:alignment vertical="center" wrapText="1"/>
    </x:xf>
    <x:xf numFmtId="0" fontId="5" fillId="12" borderId="52" xfId="0" applyNumberFormat="1" applyFont="1" applyFill="1" applyBorder="1" applyAlignment="1">
      <x:alignment vertical="center" wrapText="1"/>
    </x:xf>
    <x:xf numFmtId="0" fontId="5" fillId="12" borderId="45" xfId="0" applyNumberFormat="1" applyFont="1" applyFill="1" applyBorder="1" applyAlignment="1">
      <x:alignment horizontal="left" vertical="center" wrapText="1"/>
    </x:xf>
    <x:xf numFmtId="0" fontId="5" fillId="12" borderId="46" xfId="0" applyNumberFormat="1" applyFont="1" applyFill="1" applyBorder="1" applyAlignment="1">
      <x:alignment horizontal="left" vertical="center" wrapText="1"/>
    </x:xf>
    <x:xf numFmtId="0" fontId="5" fillId="12" borderId="47" xfId="0" applyNumberFormat="1" applyFont="1" applyFill="1" applyBorder="1" applyAlignment="1">
      <x:alignment horizontal="left" vertical="center" wrapText="1"/>
    </x:xf>
    <x:xf numFmtId="0" fontId="5" fillId="12" borderId="48" xfId="0" applyNumberFormat="1" applyFont="1" applyFill="1" applyBorder="1" applyAlignment="1">
      <x:alignment horizontal="left" vertical="center" wrapText="1"/>
    </x:xf>
    <x:xf numFmtId="0" fontId="5" fillId="12" borderId="0" xfId="0" applyNumberFormat="1" applyFont="1" applyFill="1" applyBorder="1" applyAlignment="1">
      <x:alignment horizontal="left" vertical="center" wrapText="1"/>
    </x:xf>
    <x:xf numFmtId="0" fontId="5" fillId="12" borderId="49" xfId="0" applyNumberFormat="1" applyFont="1" applyFill="1" applyBorder="1" applyAlignment="1">
      <x:alignment horizontal="left" vertical="center" wrapText="1"/>
    </x:xf>
    <x:xf numFmtId="0" fontId="5" fillId="12" borderId="50" xfId="0" applyNumberFormat="1" applyFont="1" applyFill="1" applyBorder="1" applyAlignment="1">
      <x:alignment horizontal="left" vertical="center" wrapText="1"/>
    </x:xf>
    <x:xf numFmtId="0" fontId="5" fillId="12" borderId="51" xfId="0" applyNumberFormat="1" applyFont="1" applyFill="1" applyBorder="1" applyAlignment="1">
      <x:alignment horizontal="left" vertical="center" wrapText="1"/>
    </x:xf>
    <x:xf numFmtId="0" fontId="5" fillId="12" borderId="5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71f6405af64e2b" /><Relationship Type="http://schemas.openxmlformats.org/officeDocument/2006/relationships/theme" Target="/xl/theme/theme1.xml" Id="R9c7de15ffe41454f" /><Relationship Type="http://schemas.openxmlformats.org/officeDocument/2006/relationships/sharedStrings" Target="/xl/sharedStrings.xml" Id="R44309c4992664cc5" /><Relationship Type="http://schemas.openxmlformats.org/officeDocument/2006/relationships/worksheet" Target="/xl/worksheets/sheet1.xml" Id="Rff36d1b97ffd4175" /><Relationship Type="http://schemas.openxmlformats.org/officeDocument/2006/relationships/worksheet" Target="/xl/worksheets/sheet2.xml" Id="R771c62ec2ef140b3" /><Relationship Type="http://schemas.openxmlformats.org/officeDocument/2006/relationships/worksheet" Target="/xl/worksheets/sheet3.xml" Id="Rd2e265e9783c4b9d" /><Relationship Type="http://schemas.openxmlformats.org/officeDocument/2006/relationships/worksheet" Target="/xl/worksheets/sheet4.xml" Id="Rb045ce6cf8d94141" /><Relationship Type="http://schemas.microsoft.com/office/2017/10/relationships/person" Target="/xl/persons/person.xml" Id="R58b7ca036bde40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baf2d5ddc8d49a7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4953000" cy="3829050"/>
    <xdr:pic>
      <xdr:nvPicPr>
        <xdr:cNvPr id="1" name="7dbfc5b2-fddf-44e0-a547-695cddf927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af2d5ddc8d49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persons/person.xml><?xml version="1.0" encoding="utf-8"?>
<xltc:personList xmlns:xltc="http://schemas.microsoft.com/office/spreadsheetml/2018/threadedcomments">
  <xltc:person displayName="업무 협의자료 작성자" id="{E7136EA6-FE53-44E9-91F1-2AB87E78B702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26" dT="2026-07-23T09:05:39.101" personId="{E7136EA6-FE53-44E9-91F1-2AB87E78B702}" id="{C86DC059-99A3-85BE-B22E-3EBC0BA82683}">
    <xltc:text>현행 Frm3800 소스는 BOX당 입수량을 4로 고정합니다. 회의에서 품목별 가변 여부와 수량 단위를 확정해야 합니다.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c8d5c1ec9a345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08a8fe5b12cb4394" /><Relationship Type="http://schemas.openxmlformats.org/officeDocument/2006/relationships/vmlDrawing" Target="/xl/drawings/vmldrawing.vml" Id="R668103c76d304a61" /><Relationship Type="http://schemas.microsoft.com/office/2017/10/relationships/threadedComment" Target="/xl/threadedcomments/threadedcomment.xml" Id="Rc42ae2b1362248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3.200000047683716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</x:cols>
  <x:sheetData>
    <x:row r="1" ht="26" customHeight="1">
      <x:c r="A1" s="22" t="str">
        <x:v>패킹 바코드 라벨 발행 프로세스 협의자료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4"/>
    </x:row>
    <x:row r="2" ht="26" customHeight="1">
      <x:c r="A2" s="25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7"/>
    </x:row>
    <x:row r="3" ht="26" customHeight="1">
      <x:c r="A3" s="28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30"/>
    </x:row>
    <x:row r="4" ht="23" customHeight="1">
      <x:c r="A4" s="34" t="str">
        <x:v>회의일: 2026.07.24  |  목적: 현행 흐름 공유 및 패킹업체 수행 범위·데이터 인터페이스 확정</x:v>
      </x:c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  <x:c r="O4" s="34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>
      <x:c r="A6" s="43" t="str">
        <x:v>01. 현재 업무 프로세스</x:v>
      </x:c>
      <x:c r="B6" s="44"/>
      <x:c r="C6" s="44"/>
      <x:c r="D6" s="44"/>
      <x:c r="E6" s="44"/>
      <x:c r="F6" s="44"/>
      <x:c r="G6" s="44"/>
      <x:c r="H6" s="44"/>
      <x:c r="I6" s="44"/>
      <x:c r="J6" s="44"/>
      <x:c r="K6" s="44"/>
      <x:c r="L6" s="44"/>
      <x:c r="M6" s="44"/>
      <x:c r="N6" s="44"/>
      <x:c r="O6" s="45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24" customHeight="1">
      <x:c r="A8" s="65" t="str">
        <x:v>① 제조 데이터 수신
vmWorkInfoForLogi에서
패킹 기본정보 조회</x:v>
      </x:c>
      <x:c r="B8" s="66"/>
      <x:c r="C8" s="67"/>
      <x:c r="D8" s="93" t="str">
        <x:v>② 변환 로직 실행
유효수량·BOX 범위·
라벨 그룹 계산</x:v>
      </x:c>
      <x:c r="E8" s="94"/>
      <x:c r="F8" s="95"/>
      <x:c r="G8" s="121" t="str">
        <x:v>③ Excel 생성
라벨 프로그램용
6개 컬럼으로 변환</x:v>
      </x:c>
      <x:c r="H8" s="122"/>
      <x:c r="I8" s="123"/>
      <x:c r="J8" s="65" t="str">
        <x:v>④ 라벨 프로그램
Excel을 읽어
문자·QR 라벨 발행</x:v>
      </x:c>
      <x:c r="K8" s="66"/>
      <x:c r="L8" s="67"/>
      <x:c r="M8" s="149" t="str">
        <x:v>⑤ 창고 입고
패킹품에 라벨 부착 후
창고에서 스캔·검수</x:v>
      </x:c>
      <x:c r="N8" s="150"/>
      <x:c r="O8" s="151"/>
    </x:row>
    <x:row r="9" ht="24" customHeight="1">
      <x:c r="A9" s="68"/>
      <x:c r="B9" s="69"/>
      <x:c r="C9" s="70"/>
      <x:c r="D9" s="96"/>
      <x:c r="E9" s="97"/>
      <x:c r="F9" s="98"/>
      <x:c r="G9" s="124"/>
      <x:c r="H9" s="125"/>
      <x:c r="I9" s="126"/>
      <x:c r="J9" s="68"/>
      <x:c r="K9" s="69"/>
      <x:c r="L9" s="70"/>
      <x:c r="M9" s="152"/>
      <x:c r="N9" s="153"/>
      <x:c r="O9" s="154"/>
    </x:row>
    <x:row r="10" ht="24" customHeight="1">
      <x:c r="A10" s="68"/>
      <x:c r="B10" s="69"/>
      <x:c r="C10" s="70"/>
      <x:c r="D10" s="96"/>
      <x:c r="E10" s="97"/>
      <x:c r="F10" s="98"/>
      <x:c r="G10" s="124"/>
      <x:c r="H10" s="125"/>
      <x:c r="I10" s="126"/>
      <x:c r="J10" s="68"/>
      <x:c r="K10" s="69"/>
      <x:c r="L10" s="70"/>
      <x:c r="M10" s="152"/>
      <x:c r="N10" s="153"/>
      <x:c r="O10" s="154"/>
    </x:row>
    <x:row r="11" ht="24" customHeight="1">
      <x:c r="A11" s="68"/>
      <x:c r="B11" s="69"/>
      <x:c r="C11" s="70"/>
      <x:c r="D11" s="96"/>
      <x:c r="E11" s="97"/>
      <x:c r="F11" s="98"/>
      <x:c r="G11" s="124"/>
      <x:c r="H11" s="125"/>
      <x:c r="I11" s="126"/>
      <x:c r="J11" s="68"/>
      <x:c r="K11" s="69"/>
      <x:c r="L11" s="70"/>
      <x:c r="M11" s="152"/>
      <x:c r="N11" s="153"/>
      <x:c r="O11" s="154"/>
    </x:row>
    <x:row r="12" ht="24" customHeight="1">
      <x:c r="A12" s="71"/>
      <x:c r="B12" s="72"/>
      <x:c r="C12" s="73"/>
      <x:c r="D12" s="99"/>
      <x:c r="E12" s="100"/>
      <x:c r="F12" s="101"/>
      <x:c r="G12" s="127"/>
      <x:c r="H12" s="128"/>
      <x:c r="I12" s="129"/>
      <x:c r="J12" s="71"/>
      <x:c r="K12" s="72"/>
      <x:c r="L12" s="73"/>
      <x:c r="M12" s="155"/>
      <x:c r="N12" s="156"/>
      <x:c r="O12" s="157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>
      <x:c r="A14" s="43" t="str">
        <x:v>02. 이번 회의의 제안안</x:v>
      </x:c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5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>
      <x:c r="A16" s="172" t="str">
        <x:v>1안 · 우선안
패킹업체가 패킹 + 라벨 발행 + 부착 후 납품</x:v>
      </x:c>
      <x:c r="B16" s="173"/>
      <x:c r="C16" s="173"/>
      <x:c r="D16" s="173"/>
      <x:c r="E16" s="173"/>
      <x:c r="F16" s="173"/>
      <x:c r="G16" s="174"/>
      <x:c r="H16" s="2"/>
      <x:c r="I16" s="192" t="str">
        <x:v>2안 · 대안
신규 VIEW에 최종 라벨행 제공 → 당사에서 발행</x:v>
      </x:c>
      <x:c r="J16" s="193"/>
      <x:c r="K16" s="193"/>
      <x:c r="L16" s="193"/>
      <x:c r="M16" s="193"/>
      <x:c r="N16" s="193"/>
      <x:c r="O16" s="194"/>
    </x:row>
    <x:row r="17">
      <x:c r="A17" s="175"/>
      <x:c r="B17" s="176"/>
      <x:c r="C17" s="176"/>
      <x:c r="D17" s="176"/>
      <x:c r="E17" s="176"/>
      <x:c r="F17" s="176"/>
      <x:c r="G17" s="177"/>
      <x:c r="H17" s="2"/>
      <x:c r="I17" s="195"/>
      <x:c r="J17" s="196"/>
      <x:c r="K17" s="196"/>
      <x:c r="L17" s="196"/>
      <x:c r="M17" s="196"/>
      <x:c r="N17" s="196"/>
      <x:c r="O17" s="197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28" customHeight="1">
      <x:c r="A19" s="200" t="str">
        <x:v>• 업체가 BOX_NO·수량을 확정하고 라벨을 직접 출력·부착</x:v>
      </x:c>
      <x:c r="B19" s="200"/>
      <x:c r="C19" s="200"/>
      <x:c r="D19" s="200"/>
      <x:c r="E19" s="200"/>
      <x:c r="F19" s="200"/>
      <x:c r="G19" s="200"/>
      <x:c r="H19" s="2"/>
      <x:c r="I19" s="203" t="str">
        <x:v>• 기존 vmWorkInfoForLogi VIEW는 변경 없이 그대로 유지</x:v>
      </x:c>
      <x:c r="J19" s="203"/>
      <x:c r="K19" s="203"/>
      <x:c r="L19" s="203"/>
      <x:c r="M19" s="203"/>
      <x:c r="N19" s="203"/>
      <x:c r="O19" s="203"/>
    </x:row>
    <x:row r="20" ht="28" customHeight="1">
      <x:c r="A20" s="207" t="str">
        <x:v>• 표시문자와 QR 값이 동일해야 하며, 선행 0을 그대로 유지</x:v>
      </x:c>
      <x:c r="B20" s="207"/>
      <x:c r="C20" s="207"/>
      <x:c r="D20" s="207"/>
      <x:c r="E20" s="207"/>
      <x:c r="F20" s="207"/>
      <x:c r="G20" s="207"/>
      <x:c r="H20" s="2"/>
      <x:c r="I20" s="207" t="str">
        <x:v>• 신규 수신 VIEW는 ‘한 행 = 최종 라벨 한 장’으로 구성</x:v>
      </x:c>
      <x:c r="J20" s="207"/>
      <x:c r="K20" s="207"/>
      <x:c r="L20" s="207"/>
      <x:c r="M20" s="207"/>
      <x:c r="N20" s="207"/>
      <x:c r="O20" s="207"/>
    </x:row>
    <x:row r="21" ht="28" customHeight="1">
      <x:c r="A21" s="200" t="str">
        <x:v>• 실제 패킹 완료·출력·재출력·취소 이력을 업체가 관리</x:v>
      </x:c>
      <x:c r="B21" s="200"/>
      <x:c r="C21" s="200"/>
      <x:c r="D21" s="200"/>
      <x:c r="E21" s="200"/>
      <x:c r="F21" s="200"/>
      <x:c r="G21" s="200"/>
      <x:c r="H21" s="2"/>
      <x:c r="I21" s="203" t="str">
        <x:v>• BOX_NO와 ITEM_QTY는 업체가 계산 완료한 값으로 제공</x:v>
      </x:c>
      <x:c r="J21" s="203"/>
      <x:c r="K21" s="203"/>
      <x:c r="L21" s="203"/>
      <x:c r="M21" s="203"/>
      <x:c r="N21" s="203"/>
      <x:c r="O21" s="203"/>
    </x:row>
    <x:row r="22" ht="28" customHeight="1">
      <x:c r="A22" s="207" t="str">
        <x:v>• 실물 샘플과 당사 창고 스캐너로 사전 판독 테스트 수행</x:v>
      </x:c>
      <x:c r="B22" s="207"/>
      <x:c r="C22" s="207"/>
      <x:c r="D22" s="207"/>
      <x:c r="E22" s="207"/>
      <x:c r="F22" s="207"/>
      <x:c r="G22" s="207"/>
      <x:c r="H22" s="2"/>
      <x:c r="I22" s="207" t="str">
        <x:v>• 당사는 신규 VIEW 값을 재계산하지 않고 Excel로 변환</x:v>
      </x:c>
      <x:c r="J22" s="207"/>
      <x:c r="K22" s="207"/>
      <x:c r="L22" s="207"/>
      <x:c r="M22" s="207"/>
      <x:c r="N22" s="207"/>
      <x:c r="O22" s="207"/>
    </x:row>
    <x:row r="23" ht="28" customHeight="1">
      <x:c r="A23" s="200" t="str">
        <x:v>• 입고 시 당사는 라벨 상태와 데이터 정합성을 검수</x:v>
      </x:c>
      <x:c r="B23" s="200"/>
      <x:c r="C23" s="200"/>
      <x:c r="D23" s="200"/>
      <x:c r="E23" s="200"/>
      <x:c r="F23" s="200"/>
      <x:c r="G23" s="200"/>
      <x:c r="H23" s="2"/>
      <x:c r="I23" s="203" t="str">
        <x:v>• 안정적 중복방지를 위한 LABEL_ID·상태·수정정보 제공 권장</x:v>
      </x:c>
      <x:c r="J23" s="203"/>
      <x:c r="K23" s="203"/>
      <x:c r="L23" s="203"/>
      <x:c r="M23" s="203"/>
      <x:c r="N23" s="203"/>
      <x:c r="O23" s="203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26" t="str">
        <x:v>권장 결론
업체가 실제 패킹 결과를 가장 먼저 확정하므로 1안을 우선 협의</x:v>
      </x:c>
      <x:c r="B25" s="227"/>
      <x:c r="C25" s="227"/>
      <x:c r="D25" s="227"/>
      <x:c r="E25" s="227"/>
      <x:c r="F25" s="227"/>
      <x:c r="G25" s="228"/>
      <x:c r="H25" s="2"/>
      <x:c r="I25" s="253" t="str">
        <x:v>전환 조건
업체가 라벨을 발행하지 못할 때에만 2안 적용</x:v>
      </x:c>
      <x:c r="J25" s="254"/>
      <x:c r="K25" s="254"/>
      <x:c r="L25" s="254"/>
      <x:c r="M25" s="254"/>
      <x:c r="N25" s="254"/>
      <x:c r="O25" s="255"/>
    </x:row>
    <x:row r="26">
      <x:c r="A26" s="229"/>
      <x:c r="B26" s="230"/>
      <x:c r="C26" s="230"/>
      <x:c r="D26" s="230"/>
      <x:c r="E26" s="230"/>
      <x:c r="F26" s="230"/>
      <x:c r="G26" s="231"/>
      <x:c r="H26" s="2"/>
      <x:c r="I26" s="256"/>
      <x:c r="J26" s="257"/>
      <x:c r="K26" s="257"/>
      <x:c r="L26" s="257"/>
      <x:c r="M26" s="257"/>
      <x:c r="N26" s="257"/>
      <x:c r="O26" s="258"/>
    </x:row>
    <x:row r="27">
      <x:c r="A27" s="232"/>
      <x:c r="B27" s="233"/>
      <x:c r="C27" s="233"/>
      <x:c r="D27" s="233"/>
      <x:c r="E27" s="233"/>
      <x:c r="F27" s="233"/>
      <x:c r="G27" s="234"/>
      <x:c r="H27" s="2"/>
      <x:c r="I27" s="259"/>
      <x:c r="J27" s="260"/>
      <x:c r="K27" s="260"/>
      <x:c r="L27" s="260"/>
      <x:c r="M27" s="260"/>
      <x:c r="N27" s="260"/>
      <x:c r="O27" s="261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43" t="str">
        <x:v>03. 회의에서 확정해야 할 5가지</x:v>
      </x:c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5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64" t="str">
        <x:v>확정 주제</x:v>
      </x:c>
      <x:c r="B32" s="264"/>
      <x:c r="C32" s="264"/>
      <x:c r="D32" s="264" t="str">
        <x:v>확정할 내용</x:v>
      </x:c>
      <x:c r="E32" s="264"/>
      <x:c r="F32" s="264"/>
      <x:c r="G32" s="264"/>
      <x:c r="H32" s="264"/>
      <x:c r="I32" s="264"/>
      <x:c r="J32" s="264"/>
      <x:c r="K32" s="264"/>
      <x:c r="L32" s="264"/>
      <x:c r="M32" s="264"/>
      <x:c r="N32" s="264"/>
      <x:c r="O32" s="264"/>
    </x:row>
    <x:row r="33" ht="30" customHeight="1">
      <x:c r="A33" s="269" t="str">
        <x:v>수량 정의</x:v>
      </x:c>
      <x:c r="B33" s="269"/>
      <x:c r="C33" s="269"/>
      <x:c r="D33" s="272" t="str">
        <x:v>라벨의 ‘입고중량/ITEM_QTY’가 kg인지, 병·EA 수량인지 / BOX당 입수량은 품목별인지</x:v>
      </x:c>
      <x:c r="E33" s="272"/>
      <x:c r="F33" s="272"/>
      <x:c r="G33" s="272"/>
      <x:c r="H33" s="272"/>
      <x:c r="I33" s="272"/>
      <x:c r="J33" s="272"/>
      <x:c r="K33" s="272"/>
      <x:c r="L33" s="272"/>
      <x:c r="M33" s="272"/>
      <x:c r="N33" s="272"/>
      <x:c r="O33" s="272"/>
    </x:row>
    <x:row r="34" ht="30" customHeight="1">
      <x:c r="A34" s="276" t="str">
        <x:v>BOX 번호</x:v>
      </x:c>
      <x:c r="B34" s="276"/>
      <x:c r="C34" s="276"/>
      <x:c r="D34" s="207" t="str">
        <x:v>번호 시작·초기화 기준, 3자리 선행 0, 범위의 의미, 중복·누락·999 초과 처리</x:v>
      </x:c>
      <x:c r="E34" s="207"/>
      <x:c r="F34" s="207"/>
      <x:c r="G34" s="207"/>
      <x:c r="H34" s="207"/>
      <x:c r="I34" s="207"/>
      <x:c r="J34" s="207"/>
      <x:c r="K34" s="207"/>
      <x:c r="L34" s="207"/>
      <x:c r="M34" s="207"/>
      <x:c r="N34" s="207"/>
      <x:c r="O34" s="207"/>
    </x:row>
    <x:row r="35" ht="30" customHeight="1">
      <x:c r="A35" s="269" t="str">
        <x:v>QR 규격</x:v>
      </x:c>
      <x:c r="B35" s="269"/>
      <x:c r="C35" s="269"/>
      <x:c r="D35" s="272" t="str">
        <x:v>6개 값의 순서, 구분자(첨부 샘플은 쉼표), 금지문자, 문자 인코딩 및 실제 스캐너 호환</x:v>
      </x:c>
      <x:c r="E35" s="272"/>
      <x:c r="F35" s="272"/>
      <x:c r="G35" s="272"/>
      <x:c r="H35" s="272"/>
      <x:c r="I35" s="272"/>
      <x:c r="J35" s="272"/>
      <x:c r="K35" s="272"/>
      <x:c r="L35" s="272"/>
      <x:c r="M35" s="272"/>
      <x:c r="N35" s="272"/>
      <x:c r="O35" s="272"/>
    </x:row>
    <x:row r="36" ht="30" customHeight="1">
      <x:c r="A36" s="276" t="str">
        <x:v>상태·이력</x:v>
      </x:c>
      <x:c r="B36" s="276"/>
      <x:c r="C36" s="276"/>
      <x:c r="D36" s="207" t="str">
        <x:v>패킹완료·발행성공·실패·취소·재발행 상태와 원본 라벨 추적 기준</x:v>
      </x:c>
      <x:c r="E36" s="207"/>
      <x:c r="F36" s="207"/>
      <x:c r="G36" s="207"/>
      <x:c r="H36" s="207"/>
      <x:c r="I36" s="207"/>
      <x:c r="J36" s="207"/>
      <x:c r="K36" s="207"/>
      <x:c r="L36" s="207"/>
      <x:c r="M36" s="207"/>
      <x:c r="N36" s="207"/>
      <x:c r="O36" s="207"/>
    </x:row>
    <x:row r="37" ht="30" customHeight="1">
      <x:c r="A37" s="269" t="str">
        <x:v>검수·책임</x:v>
      </x:c>
      <x:c r="B37" s="269"/>
      <x:c r="C37" s="269"/>
      <x:c r="D37" s="272" t="str">
        <x:v>합계 대사, 샘플 출력, 창고 UAT, 오류 라벨 폐기 및 재납품 책임</x:v>
      </x:c>
      <x:c r="E37" s="272"/>
      <x:c r="F37" s="272"/>
      <x:c r="G37" s="272"/>
      <x:c r="H37" s="272"/>
      <x:c r="I37" s="272"/>
      <x:c r="J37" s="272"/>
      <x:c r="K37" s="272"/>
      <x:c r="L37" s="272"/>
      <x:c r="M37" s="272"/>
      <x:c r="N37" s="272"/>
      <x:c r="O37" s="27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 ht="25" customHeight="1">
      <x:c r="A40" s="296" t="str">
        <x:v>회의 목표
① 1안 수행 가능 여부를 먼저 확정합니다.  ② 불가할 경우 2안의 신규 VIEW 항목·행 단위·상태 규칙을 확정합니다.
③ 어떤 안이든 실물 라벨과 QR을 당사 창고 스캐너로 사전 검증한 뒤 운영 전환합니다.</x:v>
      </x:c>
      <x:c r="B40" s="297"/>
      <x:c r="C40" s="297"/>
      <x:c r="D40" s="297"/>
      <x:c r="E40" s="297"/>
      <x:c r="F40" s="297"/>
      <x:c r="G40" s="297"/>
      <x:c r="H40" s="297"/>
      <x:c r="I40" s="297"/>
      <x:c r="J40" s="297"/>
      <x:c r="K40" s="297"/>
      <x:c r="L40" s="297"/>
      <x:c r="M40" s="297"/>
      <x:c r="N40" s="297"/>
      <x:c r="O40" s="298"/>
    </x:row>
    <x:row r="41" ht="25" customHeight="1">
      <x:c r="A41" s="299"/>
      <x:c r="B41" s="300"/>
      <x:c r="C41" s="300"/>
      <x:c r="D41" s="300"/>
      <x:c r="E41" s="300"/>
      <x:c r="F41" s="300"/>
      <x:c r="G41" s="300"/>
      <x:c r="H41" s="300"/>
      <x:c r="I41" s="300"/>
      <x:c r="J41" s="300"/>
      <x:c r="K41" s="300"/>
      <x:c r="L41" s="300"/>
      <x:c r="M41" s="300"/>
      <x:c r="N41" s="300"/>
      <x:c r="O41" s="301"/>
    </x:row>
    <x:row r="42" ht="25" customHeight="1">
      <x:c r="A42" s="299"/>
      <x:c r="B42" s="300"/>
      <x:c r="C42" s="300"/>
      <x:c r="D42" s="300"/>
      <x:c r="E42" s="300"/>
      <x:c r="F42" s="300"/>
      <x:c r="G42" s="300"/>
      <x:c r="H42" s="300"/>
      <x:c r="I42" s="300"/>
      <x:c r="J42" s="300"/>
      <x:c r="K42" s="300"/>
      <x:c r="L42" s="300"/>
      <x:c r="M42" s="300"/>
      <x:c r="N42" s="300"/>
      <x:c r="O42" s="301"/>
    </x:row>
    <x:row r="43" ht="25" customHeight="1">
      <x:c r="A43" s="302"/>
      <x:c r="B43" s="303"/>
      <x:c r="C43" s="303"/>
      <x:c r="D43" s="303"/>
      <x:c r="E43" s="303"/>
      <x:c r="F43" s="303"/>
      <x:c r="G43" s="303"/>
      <x:c r="H43" s="303"/>
      <x:c r="I43" s="303"/>
      <x:c r="J43" s="303"/>
      <x:c r="K43" s="303"/>
      <x:c r="L43" s="303"/>
      <x:c r="M43" s="303"/>
      <x:c r="N43" s="303"/>
      <x:c r="O43" s="304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</x:sheetData>
  <x:mergeCells>
    <x:mergeCell ref="A1:O3"/>
    <x:mergeCell ref="A4:O4"/>
    <x:mergeCell ref="A6:O6"/>
    <x:mergeCell ref="A8:C12"/>
    <x:mergeCell ref="D8:F12"/>
    <x:mergeCell ref="G8:I12"/>
    <x:mergeCell ref="J8:L12"/>
    <x:mergeCell ref="M8:O12"/>
    <x:mergeCell ref="A14:O14"/>
    <x:mergeCell ref="A16:G17"/>
    <x:mergeCell ref="I16:O17"/>
    <x:mergeCell ref="A19:G19"/>
    <x:mergeCell ref="I19:O19"/>
    <x:mergeCell ref="A20:G20"/>
    <x:mergeCell ref="I20:O20"/>
    <x:mergeCell ref="A21:G21"/>
    <x:mergeCell ref="I21:O21"/>
    <x:mergeCell ref="A22:G22"/>
    <x:mergeCell ref="I22:O22"/>
    <x:mergeCell ref="A23:G23"/>
    <x:mergeCell ref="I23:O23"/>
    <x:mergeCell ref="A25:G27"/>
    <x:mergeCell ref="I25:O27"/>
    <x:mergeCell ref="A30:O30"/>
    <x:mergeCell ref="A32:C32"/>
    <x:mergeCell ref="D32:O32"/>
    <x:mergeCell ref="A33:C33"/>
    <x:mergeCell ref="D33:O33"/>
    <x:mergeCell ref="A34:C34"/>
    <x:mergeCell ref="D34:O34"/>
    <x:mergeCell ref="A35:C35"/>
    <x:mergeCell ref="D35:O35"/>
    <x:mergeCell ref="A36:C36"/>
    <x:mergeCell ref="D36:O36"/>
    <x:mergeCell ref="A37:C37"/>
    <x:mergeCell ref="D37:O37"/>
    <x:mergeCell ref="A40:O4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0" hidden="0" customWidth="1"/>
    <x:col min="10" max="10" width="10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6" customHeight="1">
      <x:c r="A1" s="22" t="str">
        <x:v>현재 사용 중인 바코드 라벨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4"/>
    </x:row>
    <x:row r="2" ht="26" customHeight="1">
      <x:c r="A2" s="25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7"/>
    </x:row>
    <x:row r="3" ht="26" customHeight="1">
      <x:c r="A3" s="28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30"/>
    </x:row>
    <x:row r="4" ht="23" customHeight="1">
      <x:c r="A4" s="34" t="str">
        <x:v>첨부 실사용 이미지 기준 | 화면 표시값과 QR 내 6개 값의 대응 관계</x:v>
      </x:c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</x:row>
    <x:row r="5" ht="34" customHeight="1">
      <x:c r="A5" s="313" t="str"/>
      <x:c r="B5" s="314"/>
      <x:c r="C5" s="314"/>
      <x:c r="D5" s="314"/>
      <x:c r="E5" s="314"/>
      <x:c r="F5" s="314"/>
      <x:c r="G5" s="314"/>
      <x:c r="H5" s="315"/>
      <x:c r="I5" s="329" t="str">
        <x:v>라벨에 표시되는 정보</x:v>
      </x:c>
      <x:c r="J5" s="330"/>
      <x:c r="K5" s="330"/>
      <x:c r="L5" s="330"/>
      <x:c r="M5" s="330"/>
      <x:c r="N5" s="331"/>
    </x:row>
    <x:row r="6" ht="34" customHeight="1">
      <x:c r="A6" s="316"/>
      <x:c r="B6" s="317"/>
      <x:c r="C6" s="317"/>
      <x:c r="D6" s="317"/>
      <x:c r="E6" s="317"/>
      <x:c r="F6" s="317"/>
      <x:c r="G6" s="317"/>
      <x:c r="H6" s="318"/>
      <x:c r="I6" s="264" t="str">
        <x:v>항목</x:v>
      </x:c>
      <x:c r="J6" s="264"/>
      <x:c r="K6" s="264" t="str">
        <x:v>샘플 값 / 설명</x:v>
      </x:c>
      <x:c r="L6" s="264"/>
      <x:c r="M6" s="264"/>
      <x:c r="N6" s="264"/>
    </x:row>
    <x:row r="7" ht="44" customHeight="1">
      <x:c r="A7" s="316"/>
      <x:c r="B7" s="317"/>
      <x:c r="C7" s="317"/>
      <x:c r="D7" s="317"/>
      <x:c r="E7" s="317"/>
      <x:c r="F7" s="317"/>
      <x:c r="G7" s="317"/>
      <x:c r="H7" s="318"/>
      <x:c r="I7" s="335" t="str">
        <x:v>품목코드</x:v>
      </x:c>
      <x:c r="J7" s="335"/>
      <x:c r="K7" s="203" t="str">
        <x:v>CG-KAP0008AA
제품 식별 코드</x:v>
      </x:c>
      <x:c r="L7" s="203"/>
      <x:c r="M7" s="203"/>
      <x:c r="N7" s="203"/>
    </x:row>
    <x:row r="8" ht="44" customHeight="1">
      <x:c r="A8" s="316"/>
      <x:c r="B8" s="317"/>
      <x:c r="C8" s="317"/>
      <x:c r="D8" s="317"/>
      <x:c r="E8" s="317"/>
      <x:c r="F8" s="317"/>
      <x:c r="G8" s="317"/>
      <x:c r="H8" s="318"/>
      <x:c r="I8" s="276" t="str">
        <x:v>품목명</x:v>
      </x:c>
      <x:c r="J8" s="276"/>
      <x:c r="K8" s="207" t="str">
        <x:v>TKAD-7418 1.8CP
제품명·규격</x:v>
      </x:c>
      <x:c r="L8" s="207"/>
      <x:c r="M8" s="207"/>
      <x:c r="N8" s="207"/>
    </x:row>
    <x:row r="9" ht="44" customHeight="1">
      <x:c r="A9" s="316"/>
      <x:c r="B9" s="317"/>
      <x:c r="C9" s="317"/>
      <x:c r="D9" s="317"/>
      <x:c r="E9" s="317"/>
      <x:c r="F9" s="317"/>
      <x:c r="G9" s="317"/>
      <x:c r="H9" s="318"/>
      <x:c r="I9" s="335" t="str">
        <x:v>LOT NO</x:v>
      </x:c>
      <x:c r="J9" s="335"/>
      <x:c r="K9" s="203" t="str">
        <x:v>21004710
제조 LOT 식별값</x:v>
      </x:c>
      <x:c r="L9" s="203"/>
      <x:c r="M9" s="203"/>
      <x:c r="N9" s="203"/>
    </x:row>
    <x:row r="10" ht="44" customHeight="1">
      <x:c r="A10" s="316"/>
      <x:c r="B10" s="317"/>
      <x:c r="C10" s="317"/>
      <x:c r="D10" s="317"/>
      <x:c r="E10" s="317"/>
      <x:c r="F10" s="317"/>
      <x:c r="G10" s="317"/>
      <x:c r="H10" s="318"/>
      <x:c r="I10" s="276" t="str">
        <x:v>입고중량</x:v>
      </x:c>
      <x:c r="J10" s="276"/>
      <x:c r="K10" s="207" t="str">
        <x:v>8
현재 값의 단위·의미는 회의에서 확정 필요</x:v>
      </x:c>
      <x:c r="L10" s="207"/>
      <x:c r="M10" s="207"/>
      <x:c r="N10" s="207"/>
    </x:row>
    <x:row r="11" ht="44" customHeight="1">
      <x:c r="A11" s="316"/>
      <x:c r="B11" s="317"/>
      <x:c r="C11" s="317"/>
      <x:c r="D11" s="317"/>
      <x:c r="E11" s="317"/>
      <x:c r="F11" s="317"/>
      <x:c r="G11" s="317"/>
      <x:c r="H11" s="318"/>
      <x:c r="I11" s="335" t="str">
        <x:v>BOX-NO</x:v>
      </x:c>
      <x:c r="J11" s="335"/>
      <x:c r="K11" s="203" t="str">
        <x:v>001-004
해당 라벨이 대표하는 BOX 번호 범위</x:v>
      </x:c>
      <x:c r="L11" s="203"/>
      <x:c r="M11" s="203"/>
      <x:c r="N11" s="203"/>
    </x:row>
    <x:row r="12" ht="44" customHeight="1">
      <x:c r="A12" s="316"/>
      <x:c r="B12" s="317"/>
      <x:c r="C12" s="317"/>
      <x:c r="D12" s="317"/>
      <x:c r="E12" s="317"/>
      <x:c r="F12" s="317"/>
      <x:c r="G12" s="317"/>
      <x:c r="H12" s="318"/>
      <x:c r="I12" s="276" t="str">
        <x:v>비고</x:v>
      </x:c>
      <x:c r="J12" s="276"/>
      <x:c r="K12" s="207" t="str">
        <x:v>ALL 2GAL
현행 프로그램에서는 수동 입력 가능한 항목</x:v>
      </x:c>
      <x:c r="L12" s="207"/>
      <x:c r="M12" s="207"/>
      <x:c r="N12" s="207"/>
    </x:row>
    <x:row r="13" ht="55" customHeight="1">
      <x:c r="A13" s="316"/>
      <x:c r="B13" s="317"/>
      <x:c r="C13" s="317"/>
      <x:c r="D13" s="317"/>
      <x:c r="E13" s="317"/>
      <x:c r="F13" s="317"/>
      <x:c r="G13" s="317"/>
      <x:c r="H13" s="318"/>
      <x:c r="I13" s="335" t="str">
        <x:v>QR</x:v>
      </x:c>
      <x:c r="J13" s="335"/>
      <x:c r="K13" s="203" t="str">
        <x:v>위 6개 값을 순서대로 조합
스캔 시 시스템 입력값으로 사용</x:v>
      </x:c>
      <x:c r="L13" s="203"/>
      <x:c r="M13" s="203"/>
      <x:c r="N13" s="203"/>
    </x:row>
    <x:row r="14" ht="34" customHeight="1">
      <x:c r="A14" s="316"/>
      <x:c r="B14" s="317"/>
      <x:c r="C14" s="317"/>
      <x:c r="D14" s="317"/>
      <x:c r="E14" s="317"/>
      <x:c r="F14" s="317"/>
      <x:c r="G14" s="317"/>
      <x:c r="H14" s="318"/>
      <x:c r="I14" s="2"/>
      <x:c r="J14" s="2"/>
      <x:c r="K14" s="2"/>
      <x:c r="L14" s="2"/>
      <x:c r="M14" s="2"/>
      <x:c r="N14" s="2"/>
    </x:row>
    <x:row r="15" ht="34" customHeight="1">
      <x:c r="A15" s="316"/>
      <x:c r="B15" s="317"/>
      <x:c r="C15" s="317"/>
      <x:c r="D15" s="317"/>
      <x:c r="E15" s="317"/>
      <x:c r="F15" s="317"/>
      <x:c r="G15" s="317"/>
      <x:c r="H15" s="318"/>
      <x:c r="I15" s="2"/>
      <x:c r="J15" s="2"/>
      <x:c r="K15" s="2"/>
      <x:c r="L15" s="2"/>
      <x:c r="M15" s="2"/>
      <x:c r="N15" s="2"/>
    </x:row>
    <x:row r="16" ht="34" customHeight="1">
      <x:c r="A16" s="319"/>
      <x:c r="B16" s="320"/>
      <x:c r="C16" s="320"/>
      <x:c r="D16" s="320"/>
      <x:c r="E16" s="320"/>
      <x:c r="F16" s="320"/>
      <x:c r="G16" s="320"/>
      <x:c r="H16" s="321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43" t="str">
        <x:v>현행 Excel 출력 형식 · 1행 = 라벨 한 장(BOX 범위/그룹)</x:v>
      </x:c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5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8" customHeight="1">
      <x:c r="A21" s="338" t="str">
        <x:v>품목코드</x:v>
      </x:c>
      <x:c r="B21" s="338"/>
      <x:c r="C21" s="338" t="str">
        <x:v>품목명</x:v>
      </x:c>
      <x:c r="D21" s="338"/>
      <x:c r="E21" s="338"/>
      <x:c r="F21" s="338" t="str">
        <x:v>LOTNO</x:v>
      </x:c>
      <x:c r="G21" s="338"/>
      <x:c r="H21" s="338" t="str">
        <x:v>입고중량</x:v>
      </x:c>
      <x:c r="I21" s="338"/>
      <x:c r="J21" s="338" t="str">
        <x:v>BOX-NO</x:v>
      </x:c>
      <x:c r="K21" s="338"/>
      <x:c r="L21" s="338"/>
      <x:c r="M21" s="338" t="str">
        <x:v>비고</x:v>
      </x:c>
      <x:c r="N21" s="338"/>
    </x:row>
    <x:row r="22" ht="28" customHeight="1">
      <x:c r="A22" s="340" t="str">
        <x:v>CG-KAP0008AA</x:v>
      </x:c>
      <x:c r="B22" s="340"/>
      <x:c r="C22" s="340" t="str">
        <x:v>TKAD-7418 1.8CP</x:v>
      </x:c>
      <x:c r="D22" s="340"/>
      <x:c r="E22" s="340"/>
      <x:c r="F22" s="340" t="str">
        <x:v>21004710</x:v>
      </x:c>
      <x:c r="G22" s="340"/>
      <x:c r="H22" s="339" t="str">
        <x:v>8</x:v>
      </x:c>
      <x:c r="I22" s="339"/>
      <x:c r="J22" s="340" t="str">
        <x:v>001-004</x:v>
      </x:c>
      <x:c r="K22" s="340"/>
      <x:c r="L22" s="340"/>
      <x:c r="M22" s="339" t="str">
        <x:v>ALL 2GAL</x:v>
      </x:c>
      <x:c r="N22" s="339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43" t="str">
        <x:v>첨부 라벨 QR 실디코딩 결과</x:v>
      </x:c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5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359" t="str">
        <x:v>CG-KAP0008AA,TKAD-7418 1.8CP,21004710,8,001-004,ALL 2GAL</x:v>
      </x:c>
      <x:c r="B27" s="360"/>
      <x:c r="C27" s="360"/>
      <x:c r="D27" s="360"/>
      <x:c r="E27" s="360"/>
      <x:c r="F27" s="360"/>
      <x:c r="G27" s="360"/>
      <x:c r="H27" s="360"/>
      <x:c r="I27" s="360"/>
      <x:c r="J27" s="360"/>
      <x:c r="K27" s="360"/>
      <x:c r="L27" s="360"/>
      <x:c r="M27" s="360"/>
      <x:c r="N27" s="361"/>
    </x:row>
    <x:row r="28">
      <x:c r="A28" s="362"/>
      <x:c r="B28" s="363"/>
      <x:c r="C28" s="363"/>
      <x:c r="D28" s="363"/>
      <x:c r="E28" s="363"/>
      <x:c r="F28" s="363"/>
      <x:c r="G28" s="363"/>
      <x:c r="H28" s="363"/>
      <x:c r="I28" s="363"/>
      <x:c r="J28" s="363"/>
      <x:c r="K28" s="363"/>
      <x:c r="L28" s="363"/>
      <x:c r="M28" s="363"/>
      <x:c r="N28" s="364"/>
    </x:row>
    <x:row r="29">
      <x:c r="A29" s="365"/>
      <x:c r="B29" s="366"/>
      <x:c r="C29" s="366"/>
      <x:c r="D29" s="366"/>
      <x:c r="E29" s="366"/>
      <x:c r="F29" s="366"/>
      <x:c r="G29" s="366"/>
      <x:c r="H29" s="366"/>
      <x:c r="I29" s="366"/>
      <x:c r="J29" s="366"/>
      <x:c r="K29" s="366"/>
      <x:c r="L29" s="366"/>
      <x:c r="M29" s="366"/>
      <x:c r="N29" s="367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376" t="str">
        <x:v>회의 확인 필요</x:v>
      </x:c>
      <x:c r="B31" s="377"/>
      <x:c r="C31" s="377"/>
      <x:c r="D31" s="377"/>
      <x:c r="E31" s="377"/>
      <x:c r="F31" s="377"/>
      <x:c r="G31" s="377"/>
      <x:c r="H31" s="377"/>
      <x:c r="I31" s="377"/>
      <x:c r="J31" s="377"/>
      <x:c r="K31" s="377"/>
      <x:c r="L31" s="377"/>
      <x:c r="M31" s="377"/>
      <x:c r="N31" s="378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8" customHeight="1">
      <x:c r="A33" s="296" t="str">
        <x:v>① 첨부 라벨은 BOX 001-004에 수량 8로 표시되어 있습니다. 반면 현재 변환 소스는 1 BOX=4병을 고정 사용하므로, 이 샘플이 다른 규칙인지·품목별 입수량인지·수동 보정 결과인지 확인이 필요합니다.
② 첨부 QR은 쉼표(,) 6필드입니다. 소스 내 일부 스캔 로직에는 파이프(|) 구분 코드가 있어, 실제 운영 라벨 프로그램과 창고 스캐너가 사용하는 최종 구분자를 반드시 실물 테스트로 확정해야 합니다.</x:v>
      </x:c>
      <x:c r="B33" s="297"/>
      <x:c r="C33" s="297"/>
      <x:c r="D33" s="297"/>
      <x:c r="E33" s="297"/>
      <x:c r="F33" s="297"/>
      <x:c r="G33" s="297"/>
      <x:c r="H33" s="297"/>
      <x:c r="I33" s="297"/>
      <x:c r="J33" s="297"/>
      <x:c r="K33" s="297"/>
      <x:c r="L33" s="297"/>
      <x:c r="M33" s="297"/>
      <x:c r="N33" s="298"/>
    </x:row>
    <x:row r="34" ht="28" customHeight="1">
      <x:c r="A34" s="299"/>
      <x:c r="B34" s="300"/>
      <x:c r="C34" s="300"/>
      <x:c r="D34" s="300"/>
      <x:c r="E34" s="300"/>
      <x:c r="F34" s="300"/>
      <x:c r="G34" s="300"/>
      <x:c r="H34" s="300"/>
      <x:c r="I34" s="300"/>
      <x:c r="J34" s="300"/>
      <x:c r="K34" s="300"/>
      <x:c r="L34" s="300"/>
      <x:c r="M34" s="300"/>
      <x:c r="N34" s="301"/>
    </x:row>
    <x:row r="35" ht="28" customHeight="1">
      <x:c r="A35" s="299"/>
      <x:c r="B35" s="300"/>
      <x:c r="C35" s="300"/>
      <x:c r="D35" s="300"/>
      <x:c r="E35" s="300"/>
      <x:c r="F35" s="300"/>
      <x:c r="G35" s="300"/>
      <x:c r="H35" s="300"/>
      <x:c r="I35" s="300"/>
      <x:c r="J35" s="300"/>
      <x:c r="K35" s="300"/>
      <x:c r="L35" s="300"/>
      <x:c r="M35" s="300"/>
      <x:c r="N35" s="301"/>
    </x:row>
    <x:row r="36" ht="28" customHeight="1">
      <x:c r="A36" s="302"/>
      <x:c r="B36" s="303"/>
      <x:c r="C36" s="303"/>
      <x:c r="D36" s="303"/>
      <x:c r="E36" s="303"/>
      <x:c r="F36" s="303"/>
      <x:c r="G36" s="303"/>
      <x:c r="H36" s="303"/>
      <x:c r="I36" s="303"/>
      <x:c r="J36" s="303"/>
      <x:c r="K36" s="303"/>
      <x:c r="L36" s="303"/>
      <x:c r="M36" s="303"/>
      <x:c r="N36" s="304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381" t="str">
        <x:v>근거: 첨부 이미지 실디코딩 및 현행 소스 Frm3800.pas / Frm3100.pas 분석</x:v>
      </x:c>
      <x:c r="B38" s="381"/>
      <x:c r="C38" s="381"/>
      <x:c r="D38" s="381"/>
      <x:c r="E38" s="381"/>
      <x:c r="F38" s="381"/>
      <x:c r="G38" s="381"/>
      <x:c r="H38" s="381"/>
      <x:c r="I38" s="381"/>
      <x:c r="J38" s="381"/>
      <x:c r="K38" s="381"/>
      <x:c r="L38" s="381"/>
      <x:c r="M38" s="381"/>
      <x:c r="N38" s="381"/>
    </x:row>
  </x:sheetData>
  <x:mergeCells>
    <x:mergeCell ref="A1:N3"/>
    <x:mergeCell ref="A4:N4"/>
    <x:mergeCell ref="A5:H16"/>
    <x:mergeCell ref="I5:N5"/>
    <x:mergeCell ref="I6:J6"/>
    <x:mergeCell ref="K6:N6"/>
    <x:mergeCell ref="I7:J7"/>
    <x:mergeCell ref="K7:N7"/>
    <x:mergeCell ref="I8:J8"/>
    <x:mergeCell ref="K8:N8"/>
    <x:mergeCell ref="I9:J9"/>
    <x:mergeCell ref="K9:N9"/>
    <x:mergeCell ref="I10:J10"/>
    <x:mergeCell ref="K10:N10"/>
    <x:mergeCell ref="I11:J11"/>
    <x:mergeCell ref="K11:N11"/>
    <x:mergeCell ref="I12:J12"/>
    <x:mergeCell ref="K12:N12"/>
    <x:mergeCell ref="I13:J13"/>
    <x:mergeCell ref="K13:N13"/>
    <x:mergeCell ref="A19:N19"/>
    <x:mergeCell ref="A21:B21"/>
    <x:mergeCell ref="C21:E21"/>
    <x:mergeCell ref="F21:G21"/>
    <x:mergeCell ref="H21:I21"/>
    <x:mergeCell ref="J21:L21"/>
    <x:mergeCell ref="M21:N21"/>
    <x:mergeCell ref="A22:B22"/>
    <x:mergeCell ref="C22:E22"/>
    <x:mergeCell ref="F22:G22"/>
    <x:mergeCell ref="H22:I22"/>
    <x:mergeCell ref="J22:L22"/>
    <x:mergeCell ref="M22:N22"/>
    <x:mergeCell ref="A25:N25"/>
    <x:mergeCell ref="A27:N29"/>
    <x:mergeCell ref="A31:N31"/>
    <x:mergeCell ref="A33:N36"/>
    <x:mergeCell ref="A38:N38"/>
  </x:mergeCells>
  <x:pageMargins left="0.7" right="0.7" top="0.75" bottom="0.75" header="0.3" footer="0.3"/>
  <x:drawing xmlns:r="http://schemas.openxmlformats.org/officeDocument/2006/relationships" r:id="R7c8d5c1ec9a345d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00000190734863" hidden="0" customWidth="1"/>
    <x:col min="2" max="2" width="10.800000190734863" hidden="0" customWidth="1"/>
    <x:col min="3" max="3" width="10.800000190734863" hidden="0" customWidth="1"/>
    <x:col min="4" max="4" width="10.800000190734863" hidden="0" customWidth="1"/>
    <x:col min="5" max="5" width="10.800000190734863" hidden="0" customWidth="1"/>
    <x:col min="6" max="6" width="10.800000190734863" hidden="0" customWidth="1"/>
    <x:col min="7" max="7" width="10.800000190734863" hidden="0" customWidth="1"/>
    <x:col min="8" max="8" width="2.799999952316284" hidden="0" customWidth="1"/>
    <x:col min="9" max="9" width="10.800000190734863" hidden="0" customWidth="1"/>
    <x:col min="10" max="10" width="10.800000190734863" hidden="0" customWidth="1"/>
    <x:col min="11" max="11" width="10.800000190734863" hidden="0" customWidth="1"/>
    <x:col min="12" max="12" width="10.800000190734863" hidden="0" customWidth="1"/>
    <x:col min="13" max="13" width="10.800000190734863" hidden="0" customWidth="1"/>
    <x:col min="14" max="14" width="10.800000190734863" hidden="0" customWidth="1"/>
    <x:col min="15" max="15" width="10.800000190734863" hidden="0" customWidth="1"/>
  </x:cols>
  <x:sheetData>
    <x:row r="1" ht="26" customHeight="1">
      <x:c r="A1" s="22" t="str">
        <x:v>현행 데이터 수신 · 변환 · Excel 생성 로직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4"/>
    </x:row>
    <x:row r="2" ht="26" customHeight="1">
      <x:c r="A2" s="25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7"/>
    </x:row>
    <x:row r="3" ht="26" customHeight="1">
      <x:c r="A3" s="28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30"/>
    </x:row>
    <x:row r="4" ht="23" customHeight="1">
      <x:c r="A4" s="34" t="str">
        <x:v>원천 VIEW: OPCDB01.TOK.dbo.vmWorkInfoForLogi  |  주 기능: Frm3800  |  발행이력/재발행: Frm3810</x:v>
      </x:c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  <x:c r="O4" s="34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>
      <x:c r="A6" s="329" t="str">
        <x:v>제조측에서 현재 수신하는 기본 정보</x:v>
      </x:c>
      <x:c r="B6" s="330"/>
      <x:c r="C6" s="330"/>
      <x:c r="D6" s="330"/>
      <x:c r="E6" s="330"/>
      <x:c r="F6" s="330"/>
      <x:c r="G6" s="331"/>
      <x:c r="H6" s="2"/>
      <x:c r="I6" s="43" t="str">
        <x:v>현재 적용 중인 핵심 변환 규칙</x:v>
      </x:c>
      <x:c r="J6" s="44"/>
      <x:c r="K6" s="44"/>
      <x:c r="L6" s="44"/>
      <x:c r="M6" s="44"/>
      <x:c r="N6" s="44"/>
      <x:c r="O6" s="45"/>
    </x:row>
    <x:row r="7">
      <x:c r="A7" s="338" t="str">
        <x:v>필드</x:v>
      </x:c>
      <x:c r="B7" s="338"/>
      <x:c r="C7" s="338" t="str">
        <x:v>형식</x:v>
      </x:c>
      <x:c r="D7" s="338"/>
      <x:c r="E7" s="338" t="str">
        <x:v>업무 의미</x:v>
      </x:c>
      <x:c r="F7" s="338"/>
      <x:c r="G7" s="338" t="str">
        <x:v>변환 사용</x:v>
      </x:c>
      <x:c r="H7" s="2"/>
      <x:c r="I7" s="2"/>
      <x:c r="J7" s="2"/>
      <x:c r="K7" s="2"/>
      <x:c r="L7" s="2"/>
      <x:c r="M7" s="2"/>
      <x:c r="N7" s="2"/>
      <x:c r="O7" s="2"/>
    </x:row>
    <x:row r="8" ht="31" customHeight="1">
      <x:c r="A8" s="385" t="str">
        <x:v>P_CODE</x:v>
      </x:c>
      <x:c r="B8" s="385"/>
      <x:c r="C8" s="386" t="str">
        <x:v>nvarchar(20)</x:v>
      </x:c>
      <x:c r="D8" s="386"/>
      <x:c r="E8" s="203" t="str">
        <x:v>품목코드</x:v>
      </x:c>
      <x:c r="F8" s="203"/>
      <x:c r="G8" s="386" t="str">
        <x:v>표시</x:v>
      </x:c>
      <x:c r="H8" s="2"/>
      <x:c r="I8" s="394" t="str">
        <x:v>① 유효수량</x:v>
      </x:c>
      <x:c r="J8" s="394"/>
      <x:c r="K8" s="397" t="str">
        <x:v>Q = C_VOL 우선, 0이면 P_VOL 사용 − SAM_VOL</x:v>
      </x:c>
      <x:c r="L8" s="397"/>
      <x:c r="M8" s="397"/>
      <x:c r="N8" s="397"/>
      <x:c r="O8" s="397"/>
    </x:row>
    <x:row r="9" ht="31" customHeight="1">
      <x:c r="A9" s="390" t="str">
        <x:v>P_NAME</x:v>
      </x:c>
      <x:c r="B9" s="390"/>
      <x:c r="C9" s="339" t="str">
        <x:v>nvarchar(100)</x:v>
      </x:c>
      <x:c r="D9" s="339"/>
      <x:c r="E9" s="207" t="str">
        <x:v>품목명</x:v>
      </x:c>
      <x:c r="F9" s="207"/>
      <x:c r="G9" s="339" t="str">
        <x:v>표시</x:v>
      </x:c>
      <x:c r="H9" s="2"/>
      <x:c r="I9" s="401" t="str">
        <x:v>② BOX 환산</x:v>
      </x:c>
      <x:c r="J9" s="401"/>
      <x:c r="K9" s="207" t="str">
        <x:v>1 BOX = 4병 고정 / 총 BOX = 올림(Q ÷ 4)</x:v>
      </x:c>
      <x:c r="L9" s="207"/>
      <x:c r="M9" s="207"/>
      <x:c r="N9" s="207"/>
      <x:c r="O9" s="207"/>
    </x:row>
    <x:row r="10" ht="31" customHeight="1">
      <x:c r="A10" s="385" t="str">
        <x:v>P_LOT</x:v>
      </x:c>
      <x:c r="B10" s="385"/>
      <x:c r="C10" s="386" t="str">
        <x:v>nvarchar(20)</x:v>
      </x:c>
      <x:c r="D10" s="386"/>
      <x:c r="E10" s="203" t="str">
        <x:v>LOT 번호</x:v>
      </x:c>
      <x:c r="F10" s="203"/>
      <x:c r="G10" s="386" t="str">
        <x:v>표시</x:v>
      </x:c>
      <x:c r="H10" s="2"/>
      <x:c r="I10" s="394" t="str">
        <x:v>③ 시작 BOX</x:v>
      </x:c>
      <x:c r="J10" s="394"/>
      <x:c r="K10" s="397" t="str">
        <x:v>floor((P_ININO − 1) ÷ 4) + 1</x:v>
      </x:c>
      <x:c r="L10" s="397"/>
      <x:c r="M10" s="397"/>
      <x:c r="N10" s="397"/>
      <x:c r="O10" s="397"/>
    </x:row>
    <x:row r="11" ht="31" customHeight="1">
      <x:c r="A11" s="390" t="str">
        <x:v>P_ININO</x:v>
      </x:c>
      <x:c r="B11" s="390"/>
      <x:c r="C11" s="339" t="str">
        <x:v>int</x:v>
      </x:c>
      <x:c r="D11" s="339"/>
      <x:c r="E11" s="207" t="str">
        <x:v>병 시작번호</x:v>
      </x:c>
      <x:c r="F11" s="207"/>
      <x:c r="G11" s="339" t="str">
        <x:v>BOX 시작</x:v>
      </x:c>
      <x:c r="H11" s="2"/>
      <x:c r="I11" s="401" t="str">
        <x:v>④ 라벨 그룹</x:v>
      </x:c>
      <x:c r="J11" s="401"/>
      <x:c r="K11" s="207" t="str">
        <x:v>기본 12 BOX, 마지막 잔여 1~4 BOX는 직전 그룹에 합산(최대 16)</x:v>
      </x:c>
      <x:c r="L11" s="207"/>
      <x:c r="M11" s="207"/>
      <x:c r="N11" s="207"/>
      <x:c r="O11" s="207"/>
    </x:row>
    <x:row r="12" ht="31" customHeight="1">
      <x:c r="A12" s="385" t="str">
        <x:v>P_VOL</x:v>
      </x:c>
      <x:c r="B12" s="385"/>
      <x:c r="C12" s="386" t="str">
        <x:v>int</x:v>
      </x:c>
      <x:c r="D12" s="386"/>
      <x:c r="E12" s="203" t="str">
        <x:v>계획수량</x:v>
      </x:c>
      <x:c r="F12" s="203"/>
      <x:c r="G12" s="386" t="str">
        <x:v>대체값</x:v>
      </x:c>
      <x:c r="H12" s="2"/>
      <x:c r="I12" s="394" t="str">
        <x:v>⑤ BOX 표시</x:v>
      </x:c>
      <x:c r="J12" s="394"/>
      <x:c r="K12" s="397" t="str">
        <x:v>3자리 시작번호-종료번호, 예: 001-012</x:v>
      </x:c>
      <x:c r="L12" s="397"/>
      <x:c r="M12" s="397"/>
      <x:c r="N12" s="397"/>
      <x:c r="O12" s="397"/>
    </x:row>
    <x:row r="13" ht="31" customHeight="1">
      <x:c r="A13" s="390" t="str">
        <x:v>C_VOL</x:v>
      </x:c>
      <x:c r="B13" s="390"/>
      <x:c r="C13" s="339" t="str">
        <x:v>int</x:v>
      </x:c>
      <x:c r="D13" s="339"/>
      <x:c r="E13" s="207" t="str">
        <x:v>확정수량</x:v>
      </x:c>
      <x:c r="F13" s="207"/>
      <x:c r="G13" s="339" t="str">
        <x:v>우선값</x:v>
      </x:c>
      <x:c r="H13" s="2"/>
      <x:c r="I13" s="401" t="str">
        <x:v>⑥ 출력 전 수정</x:v>
      </x:c>
      <x:c r="J13" s="401"/>
      <x:c r="K13" s="207" t="str">
        <x:v>변환 결과의 입고중량·BOX-NO·비고를 사용자가 수정 가능</x:v>
      </x:c>
      <x:c r="L13" s="207"/>
      <x:c r="M13" s="207"/>
      <x:c r="N13" s="207"/>
      <x:c r="O13" s="207"/>
    </x:row>
    <x:row r="14" ht="24" customHeight="1">
      <x:c r="A14" s="385" t="str">
        <x:v>SAM_VOL</x:v>
      </x:c>
      <x:c r="B14" s="385"/>
      <x:c r="C14" s="386" t="str">
        <x:v>int</x:v>
      </x:c>
      <x:c r="D14" s="386"/>
      <x:c r="E14" s="203" t="str">
        <x:v>샘플수량</x:v>
      </x:c>
      <x:c r="F14" s="203"/>
      <x:c r="G14" s="386" t="str">
        <x:v>차감</x:v>
      </x:c>
      <x:c r="H14" s="2"/>
      <x:c r="I14" s="2"/>
      <x:c r="J14" s="2"/>
      <x:c r="K14" s="2"/>
      <x:c r="L14" s="2"/>
      <x:c r="M14" s="2"/>
      <x:c r="N14" s="2"/>
      <x:c r="O14" s="2"/>
    </x:row>
    <x:row r="15" ht="24" customHeight="1">
      <x:c r="A15" s="390" t="str">
        <x:v>SAM_BOX</x:v>
      </x:c>
      <x:c r="B15" s="390"/>
      <x:c r="C15" s="339" t="str">
        <x:v>int</x:v>
      </x:c>
      <x:c r="D15" s="339"/>
      <x:c r="E15" s="207" t="str">
        <x:v>샘플 BOX</x:v>
      </x:c>
      <x:c r="F15" s="207"/>
      <x:c r="G15" s="339" t="str">
        <x:v>현재 미사용</x:v>
      </x:c>
      <x:c r="H15" s="2"/>
      <x:c r="I15" s="415" t="str">
        <x:v>중요: Excel 저장 성공 시 발행이력으로 기록되지만, 외부 라벨 프로그램의 실제 인쇄 성공/실패는 현재 시스템이 되돌려 받지 않습니다.</x:v>
      </x:c>
      <x:c r="J15" s="416"/>
      <x:c r="K15" s="416"/>
      <x:c r="L15" s="416"/>
      <x:c r="M15" s="416"/>
      <x:c r="N15" s="416"/>
      <x:c r="O15" s="417"/>
    </x:row>
    <x:row r="16" ht="24" customHeight="1">
      <x:c r="A16" s="385" t="str">
        <x:v>P_TIME</x:v>
      </x:c>
      <x:c r="B16" s="385"/>
      <x:c r="C16" s="386" t="str">
        <x:v>datetime</x:v>
      </x:c>
      <x:c r="D16" s="386"/>
      <x:c r="E16" s="203" t="str">
        <x:v>패킹일시</x:v>
      </x:c>
      <x:c r="F16" s="203"/>
      <x:c r="G16" s="386" t="str">
        <x:v>조회·이력</x:v>
      </x:c>
      <x:c r="H16" s="2"/>
      <x:c r="I16" s="418"/>
      <x:c r="J16" s="419"/>
      <x:c r="K16" s="419"/>
      <x:c r="L16" s="419"/>
      <x:c r="M16" s="419"/>
      <x:c r="N16" s="419"/>
      <x:c r="O16" s="420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>
      <x:c r="A19" s="43" t="str">
        <x:v>계산 예시 · 68 EA, 병 시작번호 1인 경우</x:v>
      </x:c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5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26" customHeight="1">
      <x:c r="A21" s="338" t="str">
        <x:v>입력 항목</x:v>
      </x:c>
      <x:c r="B21" s="338" t="str">
        <x:v>값</x:v>
      </x:c>
      <x:c r="C21" s="338" t="str">
        <x:v>단위/설명</x:v>
      </x:c>
      <x:c r="D21" s="2"/>
      <x:c r="E21" s="338" t="str">
        <x:v>계산 항목</x:v>
      </x:c>
      <x:c r="F21" s="338" t="str">
        <x:v>계산값</x:v>
      </x:c>
      <x:c r="G21" s="338" t="str">
        <x:v>설명</x:v>
      </x:c>
      <x:c r="H21" s="2"/>
      <x:c r="I21" s="442" t="str">
        <x:v>예시 분할 결과
총 17 BOX → 12 BOX + 5 BOX
• 라벨 1: 001-012 / 48 EA
• 라벨 2: 013-017 / 20 EA
※ 한 Excel 행은 실물 BOX 한 개가 아니라 여러 BOX를 대표하는 라벨 그룹입니다.</x:v>
      </x:c>
      <x:c r="J21" s="443"/>
      <x:c r="K21" s="443"/>
      <x:c r="L21" s="443"/>
      <x:c r="M21" s="443"/>
      <x:c r="N21" s="443"/>
      <x:c r="O21" s="444"/>
    </x:row>
    <x:row r="22" ht="26" customHeight="1">
      <x:c r="A22" s="389" t="str">
        <x:v>P_VOL</x:v>
      </x:c>
      <x:c r="B22" s="421" t="n">
        <x:v>68</x:v>
      </x:c>
      <x:c r="C22" s="206" t="str">
        <x:v>EA</x:v>
      </x:c>
      <x:c r="D22" s="2"/>
      <x:c r="E22" s="393" t="str">
        <x:v>유효수량</x:v>
      </x:c>
      <x:c r="F22" s="423" t="n">
        <x:f>IF(B23=0,B22,B23)-B24</x:f>
        <x:v>68</x:v>
      </x:c>
      <x:c r="G22" s="396" t="str">
        <x:v>확정수량 우선</x:v>
      </x:c>
      <x:c r="H22" s="2"/>
      <x:c r="I22" s="445"/>
      <x:c r="J22" s="446"/>
      <x:c r="K22" s="446"/>
      <x:c r="L22" s="446"/>
      <x:c r="M22" s="446"/>
      <x:c r="N22" s="446"/>
      <x:c r="O22" s="447"/>
    </x:row>
    <x:row r="23" ht="26" customHeight="1">
      <x:c r="A23" s="389" t="str">
        <x:v>C_VOL</x:v>
      </x:c>
      <x:c r="B23" s="421" t="n">
        <x:v>68</x:v>
      </x:c>
      <x:c r="C23" s="206" t="str">
        <x:v>EA</x:v>
      </x:c>
      <x:c r="D23" s="2"/>
      <x:c r="E23" s="393" t="str">
        <x:v>총 BOX수</x:v>
      </x:c>
      <x:c r="F23" s="423" t="n">
        <x:f>ROUNDUP(F22/B26,0)</x:f>
        <x:v>17</x:v>
      </x:c>
      <x:c r="G23" s="396" t="str">
        <x:v>올림(수량÷4)</x:v>
      </x:c>
      <x:c r="H23" s="2"/>
      <x:c r="I23" s="445"/>
      <x:c r="J23" s="446"/>
      <x:c r="K23" s="446"/>
      <x:c r="L23" s="446"/>
      <x:c r="M23" s="446"/>
      <x:c r="N23" s="446"/>
      <x:c r="O23" s="447"/>
    </x:row>
    <x:row r="24" ht="26" customHeight="1">
      <x:c r="A24" s="389" t="str">
        <x:v>SAM_VOL</x:v>
      </x:c>
      <x:c r="B24" s="421" t="n">
        <x:v>0</x:v>
      </x:c>
      <x:c r="C24" s="206" t="str">
        <x:v>EA</x:v>
      </x:c>
      <x:c r="D24" s="2"/>
      <x:c r="E24" s="393" t="str">
        <x:v>시작 BOX</x:v>
      </x:c>
      <x:c r="F24" s="423" t="n">
        <x:f>INT((B25-1)/B26)+1</x:f>
        <x:v>1</x:v>
      </x:c>
      <x:c r="G24" s="396" t="str">
        <x:v>병 번호→BOX 번호</x:v>
      </x:c>
      <x:c r="H24" s="2"/>
      <x:c r="I24" s="445"/>
      <x:c r="J24" s="446"/>
      <x:c r="K24" s="446"/>
      <x:c r="L24" s="446"/>
      <x:c r="M24" s="446"/>
      <x:c r="N24" s="446"/>
      <x:c r="O24" s="447"/>
    </x:row>
    <x:row r="25" ht="26" customHeight="1">
      <x:c r="A25" s="389" t="str">
        <x:v>P_ININO</x:v>
      </x:c>
      <x:c r="B25" s="421" t="n">
        <x:v>1</x:v>
      </x:c>
      <x:c r="C25" s="206" t="str">
        <x:v>병 시작번호</x:v>
      </x:c>
      <x:c r="D25" s="2"/>
      <x:c r="E25" s="393" t="str">
        <x:v>1차 라벨 BOX수</x:v>
      </x:c>
      <x:c r="F25" s="423" t="n">
        <x:f>IF(F23&lt;=16,F23,12)</x:f>
        <x:v>12</x:v>
      </x:c>
      <x:c r="G25" s="396" t="str">
        <x:v>17 BOX이므로 12</x:v>
      </x:c>
      <x:c r="H25" s="2"/>
      <x:c r="I25" s="445"/>
      <x:c r="J25" s="446"/>
      <x:c r="K25" s="446"/>
      <x:c r="L25" s="446"/>
      <x:c r="M25" s="446"/>
      <x:c r="N25" s="446"/>
      <x:c r="O25" s="447"/>
    </x:row>
    <x:row r="26" ht="26" customHeight="1">
      <x:c r="A26" s="389" t="str">
        <x:v>BOX당 입수량</x:v>
      </x:c>
      <x:c r="B26" s="421" t="n">
        <x:v>4</x:v>
      </x:c>
      <x:c r="C26" s="206" t="str">
        <x:v>EA/BOX</x:v>
      </x:c>
      <x:c r="D26" s="2"/>
      <x:c r="E26" s="393" t="str">
        <x:v>잔여 라벨 BOX수</x:v>
      </x:c>
      <x:c r="F26" s="423" t="n">
        <x:f>F23-F25</x:f>
        <x:v>5</x:v>
      </x:c>
      <x:c r="G26" s="396" t="str">
        <x:v>나머지 5</x:v>
      </x:c>
      <x:c r="H26" s="2"/>
      <x:c r="I26" s="445"/>
      <x:c r="J26" s="446"/>
      <x:c r="K26" s="446"/>
      <x:c r="L26" s="446"/>
      <x:c r="M26" s="446"/>
      <x:c r="N26" s="446"/>
      <x:c r="O26" s="447"/>
    </x:row>
    <x:row r="27" ht="26" customHeight="1">
      <x:c r="A27" s="389" t="str">
        <x:v>기본 팔레트</x:v>
      </x:c>
      <x:c r="B27" s="421" t="n">
        <x:v>12</x:v>
      </x:c>
      <x:c r="C27" s="206" t="str">
        <x:v>BOX</x:v>
      </x:c>
      <x:c r="D27" s="2"/>
      <x:c r="E27" s="393" t="str">
        <x:v>검증</x:v>
      </x:c>
      <x:c r="F27" s="422" t="str">
        <x:f>IF(F25+F26=F23,"OK","확인")</x:f>
        <x:v>OK</x:v>
      </x:c>
      <x:c r="G27" s="396" t="str">
        <x:v>합계 일치</x:v>
      </x:c>
      <x:c r="H27" s="2"/>
      <x:c r="I27" s="448"/>
      <x:c r="J27" s="449"/>
      <x:c r="K27" s="449"/>
      <x:c r="L27" s="449"/>
      <x:c r="M27" s="449"/>
      <x:c r="N27" s="449"/>
      <x:c r="O27" s="450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43" t="str">
        <x:v>현행 Excel 생성 결과 예시</x:v>
      </x:c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5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29" customHeight="1">
      <x:c r="A32" s="338" t="str">
        <x:v>품목코드</x:v>
      </x:c>
      <x:c r="B32" s="338"/>
      <x:c r="C32" s="338" t="str">
        <x:v>품목명</x:v>
      </x:c>
      <x:c r="D32" s="338"/>
      <x:c r="E32" s="338"/>
      <x:c r="F32" s="338"/>
      <x:c r="G32" s="338" t="str">
        <x:v>LOTNO</x:v>
      </x:c>
      <x:c r="H32" s="338"/>
      <x:c r="I32" s="338" t="str">
        <x:v>입고중량</x:v>
      </x:c>
      <x:c r="J32" s="338"/>
      <x:c r="K32" s="338" t="str">
        <x:v>BOX-NO</x:v>
      </x:c>
      <x:c r="L32" s="338"/>
      <x:c r="M32" s="338"/>
      <x:c r="N32" s="338" t="str">
        <x:v>비고</x:v>
      </x:c>
      <x:c r="O32" s="338"/>
    </x:row>
    <x:row r="33" ht="29" customHeight="1">
      <x:c r="A33" s="340" t="str">
        <x:v>CG-EXAMPLE</x:v>
      </x:c>
      <x:c r="B33" s="340"/>
      <x:c r="C33" s="340" t="str">
        <x:v>회의용 예시</x:v>
      </x:c>
      <x:c r="D33" s="340"/>
      <x:c r="E33" s="340"/>
      <x:c r="F33" s="340"/>
      <x:c r="G33" s="340" t="str">
        <x:v>LOT-001</x:v>
      </x:c>
      <x:c r="H33" s="340"/>
      <x:c r="I33" s="421" t="n">
        <x:f>F25*$B$26</x:f>
        <x:v>48</x:v>
      </x:c>
      <x:c r="J33" s="421"/>
      <x:c r="K33" s="340" t="str">
        <x:v>001-012</x:v>
      </x:c>
      <x:c r="L33" s="340"/>
      <x:c r="M33" s="340"/>
      <x:c r="N33" s="339" t="str">
        <x:v>자동</x:v>
      </x:c>
      <x:c r="O33" s="339"/>
    </x:row>
    <x:row r="34" ht="29" customHeight="1">
      <x:c r="A34" s="452" t="str">
        <x:v>CG-EXAMPLE</x:v>
      </x:c>
      <x:c r="B34" s="452"/>
      <x:c r="C34" s="452" t="str">
        <x:v>회의용 예시</x:v>
      </x:c>
      <x:c r="D34" s="452"/>
      <x:c r="E34" s="452"/>
      <x:c r="F34" s="452"/>
      <x:c r="G34" s="452" t="str">
        <x:v>LOT-001</x:v>
      </x:c>
      <x:c r="H34" s="452"/>
      <x:c r="I34" s="453" t="n">
        <x:f>F22-I33</x:f>
        <x:v>20</x:v>
      </x:c>
      <x:c r="J34" s="453"/>
      <x:c r="K34" s="452" t="str">
        <x:v>013-017</x:v>
      </x:c>
      <x:c r="L34" s="452"/>
      <x:c r="M34" s="452"/>
      <x:c r="N34" s="451" t="str">
        <x:v>자동</x:v>
      </x:c>
      <x:c r="O34" s="451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376" t="str">
        <x:v>현행 운영상 주의점</x:v>
      </x:c>
      <x:c r="B37" s="377"/>
      <x:c r="C37" s="377"/>
      <x:c r="D37" s="377"/>
      <x:c r="E37" s="377"/>
      <x:c r="F37" s="377"/>
      <x:c r="G37" s="377"/>
      <x:c r="H37" s="377"/>
      <x:c r="I37" s="377"/>
      <x:c r="J37" s="377"/>
      <x:c r="K37" s="377"/>
      <x:c r="L37" s="377"/>
      <x:c r="M37" s="377"/>
      <x:c r="N37" s="377"/>
      <x:c r="O37" s="378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 ht="25" customHeight="1">
      <x:c r="A39" s="471" t="str">
        <x:v>• ‘입고중량’이라는 헤더를 사용하지만 현행 산식은 물리적 kg가 아니라 라벨 그룹에 포함된 제품 수량을 계산합니다.
• 변환 후 사용자가 수량·BOX-NO·비고를 수정할 수 있어, 자동산식과 실물 라벨이 달라질 수 있습니다.
• BOX-NO는 3자리로 자르므로 999 초과 시 규칙을 새로 정해야 합니다.
• 발행 완료 판정키는 P_CODE + P_LOT + P_ININO이며, 실제 인쇄 성공 여부·재발행 횟수는 현재 이력에 충분히 남지 않습니다.</x:v>
      </x:c>
      <x:c r="B39" s="472"/>
      <x:c r="C39" s="472"/>
      <x:c r="D39" s="472"/>
      <x:c r="E39" s="472"/>
      <x:c r="F39" s="472"/>
      <x:c r="G39" s="472"/>
      <x:c r="H39" s="472"/>
      <x:c r="I39" s="472"/>
      <x:c r="J39" s="472"/>
      <x:c r="K39" s="472"/>
      <x:c r="L39" s="472"/>
      <x:c r="M39" s="472"/>
      <x:c r="N39" s="472"/>
      <x:c r="O39" s="473"/>
    </x:row>
    <x:row r="40" ht="25" customHeight="1">
      <x:c r="A40" s="474"/>
      <x:c r="B40" s="475"/>
      <x:c r="C40" s="475"/>
      <x:c r="D40" s="475"/>
      <x:c r="E40" s="475"/>
      <x:c r="F40" s="475"/>
      <x:c r="G40" s="475"/>
      <x:c r="H40" s="475"/>
      <x:c r="I40" s="475"/>
      <x:c r="J40" s="475"/>
      <x:c r="K40" s="475"/>
      <x:c r="L40" s="475"/>
      <x:c r="M40" s="475"/>
      <x:c r="N40" s="475"/>
      <x:c r="O40" s="476"/>
    </x:row>
    <x:row r="41" ht="25" customHeight="1">
      <x:c r="A41" s="474"/>
      <x:c r="B41" s="475"/>
      <x:c r="C41" s="475"/>
      <x:c r="D41" s="475"/>
      <x:c r="E41" s="475"/>
      <x:c r="F41" s="475"/>
      <x:c r="G41" s="475"/>
      <x:c r="H41" s="475"/>
      <x:c r="I41" s="475"/>
      <x:c r="J41" s="475"/>
      <x:c r="K41" s="475"/>
      <x:c r="L41" s="475"/>
      <x:c r="M41" s="475"/>
      <x:c r="N41" s="475"/>
      <x:c r="O41" s="476"/>
    </x:row>
    <x:row r="42" ht="25" customHeight="1">
      <x:c r="A42" s="474"/>
      <x:c r="B42" s="475"/>
      <x:c r="C42" s="475"/>
      <x:c r="D42" s="475"/>
      <x:c r="E42" s="475"/>
      <x:c r="F42" s="475"/>
      <x:c r="G42" s="475"/>
      <x:c r="H42" s="475"/>
      <x:c r="I42" s="475"/>
      <x:c r="J42" s="475"/>
      <x:c r="K42" s="475"/>
      <x:c r="L42" s="475"/>
      <x:c r="M42" s="475"/>
      <x:c r="N42" s="475"/>
      <x:c r="O42" s="476"/>
    </x:row>
    <x:row r="43" ht="25" customHeight="1">
      <x:c r="A43" s="477"/>
      <x:c r="B43" s="478"/>
      <x:c r="C43" s="478"/>
      <x:c r="D43" s="478"/>
      <x:c r="E43" s="478"/>
      <x:c r="F43" s="478"/>
      <x:c r="G43" s="478"/>
      <x:c r="H43" s="478"/>
      <x:c r="I43" s="478"/>
      <x:c r="J43" s="478"/>
      <x:c r="K43" s="478"/>
      <x:c r="L43" s="478"/>
      <x:c r="M43" s="478"/>
      <x:c r="N43" s="478"/>
      <x:c r="O43" s="479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>
      <x:c r="A46" s="381" t="str">
        <x:v>분석 근거: D:\Project\TOK_송도_최종\메인메뉴_외부동\Frm3800.pas / Frm3810.pas / Frm3100.pas</x:v>
      </x:c>
      <x:c r="B46" s="381"/>
      <x:c r="C46" s="381"/>
      <x:c r="D46" s="381"/>
      <x:c r="E46" s="381"/>
      <x:c r="F46" s="381"/>
      <x:c r="G46" s="381"/>
      <x:c r="H46" s="381"/>
      <x:c r="I46" s="381"/>
      <x:c r="J46" s="381"/>
      <x:c r="K46" s="381"/>
      <x:c r="L46" s="381"/>
      <x:c r="M46" s="381"/>
      <x:c r="N46" s="381"/>
      <x:c r="O46" s="381"/>
    </x:row>
    <x:row r="47">
      <x:c r="A47" s="381"/>
      <x:c r="B47" s="381"/>
      <x:c r="C47" s="381"/>
      <x:c r="D47" s="381"/>
      <x:c r="E47" s="381"/>
      <x:c r="F47" s="381"/>
      <x:c r="G47" s="381"/>
      <x:c r="H47" s="381"/>
      <x:c r="I47" s="381"/>
      <x:c r="J47" s="381"/>
      <x:c r="K47" s="381"/>
      <x:c r="L47" s="381"/>
      <x:c r="M47" s="381"/>
      <x:c r="N47" s="381"/>
      <x:c r="O47" s="381"/>
    </x:row>
  </x:sheetData>
  <x:mergeCells>
    <x:mergeCell ref="A1:O3"/>
    <x:mergeCell ref="A4:O4"/>
    <x:mergeCell ref="A6:G6"/>
    <x:mergeCell ref="A7:B7"/>
    <x:mergeCell ref="C7:D7"/>
    <x:mergeCell ref="E7:F7"/>
    <x:mergeCell ref="A8:B8"/>
    <x:mergeCell ref="C8:D8"/>
    <x:mergeCell ref="E8:F8"/>
    <x:mergeCell ref="A9:B9"/>
    <x:mergeCell ref="C9:D9"/>
    <x:mergeCell ref="E9:F9"/>
    <x:mergeCell ref="A10:B10"/>
    <x:mergeCell ref="C10:D10"/>
    <x:mergeCell ref="E10:F10"/>
    <x:mergeCell ref="A11:B11"/>
    <x:mergeCell ref="C11:D11"/>
    <x:mergeCell ref="E11:F11"/>
    <x:mergeCell ref="A12:B12"/>
    <x:mergeCell ref="C12:D12"/>
    <x:mergeCell ref="E12:F12"/>
    <x:mergeCell ref="A13:B13"/>
    <x:mergeCell ref="C13:D13"/>
    <x:mergeCell ref="E13:F13"/>
    <x:mergeCell ref="A14:B14"/>
    <x:mergeCell ref="C14:D14"/>
    <x:mergeCell ref="E14:F14"/>
    <x:mergeCell ref="A15:B15"/>
    <x:mergeCell ref="C15:D15"/>
    <x:mergeCell ref="E15:F15"/>
    <x:mergeCell ref="A16:B16"/>
    <x:mergeCell ref="C16:D16"/>
    <x:mergeCell ref="E16:F16"/>
    <x:mergeCell ref="I6:O6"/>
    <x:mergeCell ref="I8:J8"/>
    <x:mergeCell ref="K8:O8"/>
    <x:mergeCell ref="I9:J9"/>
    <x:mergeCell ref="K9:O9"/>
    <x:mergeCell ref="I10:J10"/>
    <x:mergeCell ref="K10:O10"/>
    <x:mergeCell ref="I11:J11"/>
    <x:mergeCell ref="K11:O11"/>
    <x:mergeCell ref="I12:J12"/>
    <x:mergeCell ref="K12:O12"/>
    <x:mergeCell ref="I13:J13"/>
    <x:mergeCell ref="K13:O13"/>
    <x:mergeCell ref="I15:O16"/>
    <x:mergeCell ref="A19:O19"/>
    <x:mergeCell ref="I21:O27"/>
    <x:mergeCell ref="A30:O30"/>
    <x:mergeCell ref="A32:B32"/>
    <x:mergeCell ref="C32:F32"/>
    <x:mergeCell ref="G32:H32"/>
    <x:mergeCell ref="I32:J32"/>
    <x:mergeCell ref="K32:M32"/>
    <x:mergeCell ref="N32:O32"/>
    <x:mergeCell ref="A33:B33"/>
    <x:mergeCell ref="C33:F33"/>
    <x:mergeCell ref="G33:H33"/>
    <x:mergeCell ref="I33:J33"/>
    <x:mergeCell ref="K33:M33"/>
    <x:mergeCell ref="N33:O33"/>
    <x:mergeCell ref="A34:B34"/>
    <x:mergeCell ref="C34:F34"/>
    <x:mergeCell ref="G34:H34"/>
    <x:mergeCell ref="I34:J34"/>
    <x:mergeCell ref="K34:M34"/>
    <x:mergeCell ref="N34:O34"/>
    <x:mergeCell ref="A37:O37"/>
    <x:mergeCell ref="A39:O43"/>
    <x:mergeCell ref="A46:O47"/>
  </x:mergeCells>
  <x:pageMargins left="0.7" right="0.7" top="0.75" bottom="0.75" header="0.3" footer="0.3"/>
  <x:legacyDrawing xmlns:r="http://schemas.openxmlformats.org/officeDocument/2006/relationships" r:id="R668103c76d304a61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" hidden="0" customWidth="1"/>
    <x:col min="2" max="2" width="10.5" hidden="0" customWidth="1"/>
    <x:col min="3" max="3" width="10.5" hidden="0" customWidth="1"/>
    <x:col min="4" max="4" width="10.5" hidden="0" customWidth="1"/>
    <x:col min="5" max="5" width="10.5" hidden="0" customWidth="1"/>
    <x:col min="6" max="6" width="10.5" hidden="0" customWidth="1"/>
    <x:col min="7" max="7" width="10.5" hidden="0" customWidth="1"/>
    <x:col min="8" max="8" width="3" hidden="0" customWidth="1"/>
    <x:col min="9" max="9" width="10.5" hidden="0" customWidth="1"/>
    <x:col min="10" max="10" width="10.5" hidden="0" customWidth="1"/>
    <x:col min="11" max="11" width="10.5" hidden="0" customWidth="1"/>
    <x:col min="12" max="12" width="10.5" hidden="0" customWidth="1"/>
    <x:col min="13" max="13" width="10.5" hidden="0" customWidth="1"/>
    <x:col min="14" max="14" width="10.5" hidden="0" customWidth="1"/>
    <x:col min="15" max="15" width="10.5" hidden="0" customWidth="1"/>
  </x:cols>
  <x:sheetData>
    <x:row r="1" ht="26" customHeight="1">
      <x:c r="A1" s="22" t="str">
        <x:v>패킹업체 요청사항 및 신규 VIEW 제안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4"/>
    </x:row>
    <x:row r="2" ht="26" customHeight="1">
      <x:c r="A2" s="25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7"/>
    </x:row>
    <x:row r="3" ht="26" customHeight="1">
      <x:c r="A3" s="28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30"/>
    </x:row>
    <x:row r="4" ht="23" customHeight="1">
      <x:c r="A4" s="34" t="str">
        <x:v>협의 순서: 1안 수행 가능 여부 → 불가 시 2안 데이터 계약 → 샘플/UAT → 운영 전환</x:v>
      </x:c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  <x:c r="O4" s="34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>
      <x:c r="A6" s="480" t="str">
        <x:v>공통 원칙: 실제 패킹 결과와 라벨 데이터의 책임 주체를 명확히 하고, 동일 라벨의 중복 발행·취소·재발행을 추적할 수 있어야 합니다.</x:v>
      </x:c>
      <x:c r="B6" s="481"/>
      <x:c r="C6" s="481"/>
      <x:c r="D6" s="481"/>
      <x:c r="E6" s="481"/>
      <x:c r="F6" s="481"/>
      <x:c r="G6" s="481"/>
      <x:c r="H6" s="481"/>
      <x:c r="I6" s="481"/>
      <x:c r="J6" s="481"/>
      <x:c r="K6" s="481"/>
      <x:c r="L6" s="481"/>
      <x:c r="M6" s="481"/>
      <x:c r="N6" s="481"/>
      <x:c r="O6" s="482"/>
    </x:row>
    <x:row r="7">
      <x:c r="A7" s="483"/>
      <x:c r="B7" s="484"/>
      <x:c r="C7" s="484"/>
      <x:c r="D7" s="484"/>
      <x:c r="E7" s="484"/>
      <x:c r="F7" s="484"/>
      <x:c r="G7" s="484"/>
      <x:c r="H7" s="484"/>
      <x:c r="I7" s="484"/>
      <x:c r="J7" s="484"/>
      <x:c r="K7" s="484"/>
      <x:c r="L7" s="484"/>
      <x:c r="M7" s="484"/>
      <x:c r="N7" s="484"/>
      <x:c r="O7" s="485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>
      <x:c r="A9" s="493" t="str">
        <x:v>1안 요청사항 · 업체가 라벨 발행·부착</x:v>
      </x:c>
      <x:c r="B9" s="494"/>
      <x:c r="C9" s="494"/>
      <x:c r="D9" s="494"/>
      <x:c r="E9" s="494"/>
      <x:c r="F9" s="494"/>
      <x:c r="G9" s="495"/>
      <x:c r="H9" s="2"/>
      <x:c r="I9" s="329" t="str">
        <x:v>2안 요청사항 · 신규 VIEW로 최종 데이터 제공</x:v>
      </x:c>
      <x:c r="J9" s="330"/>
      <x:c r="K9" s="330"/>
      <x:c r="L9" s="330"/>
      <x:c r="M9" s="330"/>
      <x:c r="N9" s="330"/>
      <x:c r="O9" s="331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</x:row>
    <x:row r="11" ht="27" customHeight="1">
      <x:c r="A11" s="200" t="str">
        <x:v>1. 현재 라벨의 6개 표시항목과 QR 값을 동일하게 생성</x:v>
      </x:c>
      <x:c r="B11" s="200"/>
      <x:c r="C11" s="200"/>
      <x:c r="D11" s="200"/>
      <x:c r="E11" s="200"/>
      <x:c r="F11" s="200"/>
      <x:c r="G11" s="200"/>
      <x:c r="H11" s="2"/>
      <x:c r="I11" s="203" t="str">
        <x:v>1. 기존 vmWorkInfoForLogi VIEW는 변경 없이 유지</x:v>
      </x:c>
      <x:c r="J11" s="203"/>
      <x:c r="K11" s="203"/>
      <x:c r="L11" s="203"/>
      <x:c r="M11" s="203"/>
      <x:c r="N11" s="203"/>
      <x:c r="O11" s="203"/>
    </x:row>
    <x:row r="12" ht="27" customHeight="1">
      <x:c r="A12" s="207" t="str">
        <x:v>2. 수량의 의미·단위 및 품목별 BOX당 입수량 확정</x:v>
      </x:c>
      <x:c r="B12" s="207"/>
      <x:c r="C12" s="207"/>
      <x:c r="D12" s="207"/>
      <x:c r="E12" s="207"/>
      <x:c r="F12" s="207"/>
      <x:c r="G12" s="207"/>
      <x:c r="H12" s="2"/>
      <x:c r="I12" s="207" t="str">
        <x:v>2. 수신 전용 신규 VIEW를 별도로 추가</x:v>
      </x:c>
      <x:c r="J12" s="207"/>
      <x:c r="K12" s="207"/>
      <x:c r="L12" s="207"/>
      <x:c r="M12" s="207"/>
      <x:c r="N12" s="207"/>
      <x:c r="O12" s="207"/>
    </x:row>
    <x:row r="13" ht="27" customHeight="1">
      <x:c r="A13" s="200" t="str">
        <x:v>3. BOX 번호 시작·초기화·선행 0·중복/누락 방지 규칙 준수</x:v>
      </x:c>
      <x:c r="B13" s="200"/>
      <x:c r="C13" s="200"/>
      <x:c r="D13" s="200"/>
      <x:c r="E13" s="200"/>
      <x:c r="F13" s="200"/>
      <x:c r="G13" s="200"/>
      <x:c r="H13" s="2"/>
      <x:c r="I13" s="203" t="str">
        <x:v>3. 한 행 = BOX 범위별 최종 라벨 한 장</x:v>
      </x:c>
      <x:c r="J13" s="203"/>
      <x:c r="K13" s="203"/>
      <x:c r="L13" s="203"/>
      <x:c r="M13" s="203"/>
      <x:c r="N13" s="203"/>
      <x:c r="O13" s="203"/>
    </x:row>
    <x:row r="14" ht="27" customHeight="1">
      <x:c r="A14" s="207" t="str">
        <x:v>4. 포장완료 후 확정된 데이터로만 라벨 발행</x:v>
      </x:c>
      <x:c r="B14" s="207"/>
      <x:c r="C14" s="207"/>
      <x:c r="D14" s="207"/>
      <x:c r="E14" s="207"/>
      <x:c r="F14" s="207"/>
      <x:c r="G14" s="207"/>
      <x:c r="H14" s="2"/>
      <x:c r="I14" s="207" t="str">
        <x:v>4. BOX_NO·ITEM_QTY는 업체가 계산 완료한 값으로 제공</x:v>
      </x:c>
      <x:c r="J14" s="207"/>
      <x:c r="K14" s="207"/>
      <x:c r="L14" s="207"/>
      <x:c r="M14" s="207"/>
      <x:c r="N14" s="207"/>
      <x:c r="O14" s="207"/>
    </x:row>
    <x:row r="15" ht="27" customHeight="1">
      <x:c r="A15" s="200" t="str">
        <x:v>5. LABEL_ID 기준 출력·실패·취소·재발행 이력 관리</x:v>
      </x:c>
      <x:c r="B15" s="200"/>
      <x:c r="C15" s="200"/>
      <x:c r="D15" s="200"/>
      <x:c r="E15" s="200"/>
      <x:c r="F15" s="200"/>
      <x:c r="G15" s="200"/>
      <x:c r="H15" s="2"/>
      <x:c r="I15" s="203" t="str">
        <x:v>5. 당사는 재계산 없이 6열 Excel로 변환하여 발행</x:v>
      </x:c>
      <x:c r="J15" s="203"/>
      <x:c r="K15" s="203"/>
      <x:c r="L15" s="203"/>
      <x:c r="M15" s="203"/>
      <x:c r="N15" s="203"/>
      <x:c r="O15" s="203"/>
    </x:row>
    <x:row r="16" ht="27" customHeight="1">
      <x:c r="A16" s="207" t="str">
        <x:v>6. 라벨 크기·재질·부착위치·QR 인쇄품질 사양 합의</x:v>
      </x:c>
      <x:c r="B16" s="207"/>
      <x:c r="C16" s="207"/>
      <x:c r="D16" s="207"/>
      <x:c r="E16" s="207"/>
      <x:c r="F16" s="207"/>
      <x:c r="G16" s="207"/>
      <x:c r="H16" s="2"/>
      <x:c r="I16" s="207" t="str">
        <x:v>6. 품목·LOT·BOX_NO는 문자열로 전달해 선행 0 보존</x:v>
      </x:c>
      <x:c r="J16" s="207"/>
      <x:c r="K16" s="207"/>
      <x:c r="L16" s="207"/>
      <x:c r="M16" s="207"/>
      <x:c r="N16" s="207"/>
      <x:c r="O16" s="207"/>
    </x:row>
    <x:row r="17" ht="27" customHeight="1">
      <x:c r="A17" s="200" t="str">
        <x:v>7. 표시문자와 QR payload가 문자 단위로 일치</x:v>
      </x:c>
      <x:c r="B17" s="200"/>
      <x:c r="C17" s="200"/>
      <x:c r="D17" s="200"/>
      <x:c r="E17" s="200"/>
      <x:c r="F17" s="200"/>
      <x:c r="G17" s="200"/>
      <x:c r="H17" s="2"/>
      <x:c r="I17" s="203" t="str">
        <x:v>7. REMARK까지 제공해 현행 6열과 동일하게 구성</x:v>
      </x:c>
      <x:c r="J17" s="203"/>
      <x:c r="K17" s="203"/>
      <x:c r="L17" s="203"/>
      <x:c r="M17" s="203"/>
      <x:c r="N17" s="203"/>
      <x:c r="O17" s="203"/>
    </x:row>
    <x:row r="18" ht="27" customHeight="1">
      <x:c r="A18" s="207" t="str">
        <x:v>8. 실물 샘플을 당사 창고 스캐너로 사전 UAT</x:v>
      </x:c>
      <x:c r="B18" s="207"/>
      <x:c r="C18" s="207"/>
      <x:c r="D18" s="207"/>
      <x:c r="E18" s="207"/>
      <x:c r="F18" s="207"/>
      <x:c r="G18" s="207"/>
      <x:c r="H18" s="2"/>
      <x:c r="I18" s="207" t="str">
        <x:v>8. LABEL_ID·상태·수정버전·갱신일시 제공 권장</x:v>
      </x:c>
      <x:c r="J18" s="207"/>
      <x:c r="K18" s="207"/>
      <x:c r="L18" s="207"/>
      <x:c r="M18" s="207"/>
      <x:c r="N18" s="207"/>
      <x:c r="O18" s="207"/>
    </x:row>
    <x:row r="19" ht="27" customHeight="1">
      <x:c r="A19" s="200" t="str">
        <x:v>9. 오발행 라벨의 폐기·재발행·재납품 책임 기준 확정</x:v>
      </x:c>
      <x:c r="B19" s="200"/>
      <x:c r="C19" s="200"/>
      <x:c r="D19" s="200"/>
      <x:c r="E19" s="200"/>
      <x:c r="F19" s="200"/>
      <x:c r="G19" s="200"/>
      <x:c r="H19" s="2"/>
      <x:c r="I19" s="203" t="str">
        <x:v>9. READY/CANCELLED 및 재전송·정정 처리 규칙 확정</x:v>
      </x:c>
      <x:c r="J19" s="203"/>
      <x:c r="K19" s="203"/>
      <x:c r="L19" s="203"/>
      <x:c r="M19" s="203"/>
      <x:c r="N19" s="203"/>
      <x:c r="O19" s="203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43" t="str">
        <x:v>2안 신규 VIEW 제안 구조 · 최소 필드 + 운영 권장 필드</x:v>
      </x:c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5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338" t="str">
        <x:v>구분</x:v>
      </x:c>
      <x:c r="B24" s="338"/>
      <x:c r="C24" s="338" t="str">
        <x:v>필드명</x:v>
      </x:c>
      <x:c r="D24" s="338"/>
      <x:c r="E24" s="338"/>
      <x:c r="F24" s="338" t="str">
        <x:v>데이터형</x:v>
      </x:c>
      <x:c r="G24" s="338"/>
      <x:c r="H24" s="338"/>
      <x:c r="I24" s="338" t="str">
        <x:v>정의 / 전달 규칙</x:v>
      </x:c>
      <x:c r="J24" s="338"/>
      <x:c r="K24" s="338"/>
      <x:c r="L24" s="338"/>
      <x:c r="M24" s="338"/>
      <x:c r="N24" s="338"/>
      <x:c r="O24" s="338" t="str">
        <x:v>필수</x:v>
      </x:c>
    </x:row>
    <x:row r="25" ht="25" customHeight="1">
      <x:c r="A25" s="394" t="str">
        <x:v>최소</x:v>
      </x:c>
      <x:c r="B25" s="394"/>
      <x:c r="C25" s="499" t="str">
        <x:v>P_CODE</x:v>
      </x:c>
      <x:c r="D25" s="499"/>
      <x:c r="E25" s="499"/>
      <x:c r="F25" s="503" t="str">
        <x:v>nvarchar(20)</x:v>
      </x:c>
      <x:c r="G25" s="503"/>
      <x:c r="H25" s="503"/>
      <x:c r="I25" s="397" t="str">
        <x:v>품목코드</x:v>
      </x:c>
      <x:c r="J25" s="397"/>
      <x:c r="K25" s="397"/>
      <x:c r="L25" s="397"/>
      <x:c r="M25" s="397"/>
      <x:c r="N25" s="397"/>
      <x:c r="O25" s="507" t="str">
        <x:v>Y</x:v>
      </x:c>
    </x:row>
    <x:row r="26" ht="25" customHeight="1">
      <x:c r="A26" s="401" t="str">
        <x:v>최소</x:v>
      </x:c>
      <x:c r="B26" s="401"/>
      <x:c r="C26" s="390" t="str">
        <x:v>P_NAME</x:v>
      </x:c>
      <x:c r="D26" s="390"/>
      <x:c r="E26" s="390"/>
      <x:c r="F26" s="511" t="str">
        <x:v>nvarchar(100)</x:v>
      </x:c>
      <x:c r="G26" s="511"/>
      <x:c r="H26" s="511"/>
      <x:c r="I26" s="207" t="str">
        <x:v>품목명</x:v>
      </x:c>
      <x:c r="J26" s="207"/>
      <x:c r="K26" s="207"/>
      <x:c r="L26" s="207"/>
      <x:c r="M26" s="207"/>
      <x:c r="N26" s="207"/>
      <x:c r="O26" s="515" t="str">
        <x:v>Y</x:v>
      </x:c>
    </x:row>
    <x:row r="27" ht="25" customHeight="1">
      <x:c r="A27" s="394" t="str">
        <x:v>최소</x:v>
      </x:c>
      <x:c r="B27" s="394"/>
      <x:c r="C27" s="499" t="str">
        <x:v>P_LOT</x:v>
      </x:c>
      <x:c r="D27" s="499"/>
      <x:c r="E27" s="499"/>
      <x:c r="F27" s="503" t="str">
        <x:v>nvarchar(20)</x:v>
      </x:c>
      <x:c r="G27" s="503"/>
      <x:c r="H27" s="503"/>
      <x:c r="I27" s="397" t="str">
        <x:v>LOT 번호</x:v>
      </x:c>
      <x:c r="J27" s="397"/>
      <x:c r="K27" s="397"/>
      <x:c r="L27" s="397"/>
      <x:c r="M27" s="397"/>
      <x:c r="N27" s="397"/>
      <x:c r="O27" s="507" t="str">
        <x:v>Y</x:v>
      </x:c>
    </x:row>
    <x:row r="28" ht="25" customHeight="1">
      <x:c r="A28" s="401" t="str">
        <x:v>최소</x:v>
      </x:c>
      <x:c r="B28" s="401"/>
      <x:c r="C28" s="390" t="str">
        <x:v>BOX_NO</x:v>
      </x:c>
      <x:c r="D28" s="390"/>
      <x:c r="E28" s="390"/>
      <x:c r="F28" s="511" t="str">
        <x:v>nvarchar(20)</x:v>
      </x:c>
      <x:c r="G28" s="511"/>
      <x:c r="H28" s="511"/>
      <x:c r="I28" s="207" t="str">
        <x:v>업체가 계산 완료한 BOX 범위, 예: 001-012</x:v>
      </x:c>
      <x:c r="J28" s="207"/>
      <x:c r="K28" s="207"/>
      <x:c r="L28" s="207"/>
      <x:c r="M28" s="207"/>
      <x:c r="N28" s="207"/>
      <x:c r="O28" s="515" t="str">
        <x:v>Y</x:v>
      </x:c>
    </x:row>
    <x:row r="29" ht="25" customHeight="1">
      <x:c r="A29" s="394" t="str">
        <x:v>최소</x:v>
      </x:c>
      <x:c r="B29" s="394"/>
      <x:c r="C29" s="499" t="str">
        <x:v>ITEM_QTY</x:v>
      </x:c>
      <x:c r="D29" s="499"/>
      <x:c r="E29" s="499"/>
      <x:c r="F29" s="503" t="str">
        <x:v>int</x:v>
      </x:c>
      <x:c r="G29" s="503"/>
      <x:c r="H29" s="503"/>
      <x:c r="I29" s="397" t="str">
        <x:v>해당 BOX_NO 범위에 포함된 실제 제품수량</x:v>
      </x:c>
      <x:c r="J29" s="397"/>
      <x:c r="K29" s="397"/>
      <x:c r="L29" s="397"/>
      <x:c r="M29" s="397"/>
      <x:c r="N29" s="397"/>
      <x:c r="O29" s="507" t="str">
        <x:v>Y</x:v>
      </x:c>
    </x:row>
    <x:row r="30" ht="25" customHeight="1">
      <x:c r="A30" s="401" t="str">
        <x:v>최소</x:v>
      </x:c>
      <x:c r="B30" s="401"/>
      <x:c r="C30" s="390" t="str">
        <x:v>REMARK</x:v>
      </x:c>
      <x:c r="D30" s="390"/>
      <x:c r="E30" s="390"/>
      <x:c r="F30" s="511" t="str">
        <x:v>nvarchar(200)</x:v>
      </x:c>
      <x:c r="G30" s="511"/>
      <x:c r="H30" s="511"/>
      <x:c r="I30" s="207" t="str">
        <x:v>라벨 비고. 현행 6열 Excel 호환을 위해 추가</x:v>
      </x:c>
      <x:c r="J30" s="207"/>
      <x:c r="K30" s="207"/>
      <x:c r="L30" s="207"/>
      <x:c r="M30" s="207"/>
      <x:c r="N30" s="207"/>
      <x:c r="O30" s="515" t="str">
        <x:v>Y</x:v>
      </x:c>
    </x:row>
    <x:row r="31" ht="25" customHeight="1">
      <x:c r="A31" s="394" t="str">
        <x:v>최소</x:v>
      </x:c>
      <x:c r="B31" s="394"/>
      <x:c r="C31" s="499" t="str">
        <x:v>P_TIME</x:v>
      </x:c>
      <x:c r="D31" s="499"/>
      <x:c r="E31" s="499"/>
      <x:c r="F31" s="503" t="str">
        <x:v>datetime</x:v>
      </x:c>
      <x:c r="G31" s="503"/>
      <x:c r="H31" s="503"/>
      <x:c r="I31" s="397" t="str">
        <x:v>실제 패킹 작업 완료 일시</x:v>
      </x:c>
      <x:c r="J31" s="397"/>
      <x:c r="K31" s="397"/>
      <x:c r="L31" s="397"/>
      <x:c r="M31" s="397"/>
      <x:c r="N31" s="397"/>
      <x:c r="O31" s="507" t="str">
        <x:v>Y</x:v>
      </x:c>
    </x:row>
    <x:row r="32" ht="25" customHeight="1">
      <x:c r="A32" s="519" t="str">
        <x:v>권장</x:v>
      </x:c>
      <x:c r="B32" s="519"/>
      <x:c r="C32" s="523" t="str">
        <x:v>LABEL_ID</x:v>
      </x:c>
      <x:c r="D32" s="523"/>
      <x:c r="E32" s="523"/>
      <x:c r="F32" s="527" t="str">
        <x:v>nvarchar(50)</x:v>
      </x:c>
      <x:c r="G32" s="527"/>
      <x:c r="H32" s="527"/>
      <x:c r="I32" s="272" t="str">
        <x:v>라벨별 영구 고유ID · 중복 발행 방지키</x:v>
      </x:c>
      <x:c r="J32" s="272"/>
      <x:c r="K32" s="272"/>
      <x:c r="L32" s="272"/>
      <x:c r="M32" s="272"/>
      <x:c r="N32" s="272"/>
      <x:c r="O32" s="531" t="str">
        <x:v>권장</x:v>
      </x:c>
    </x:row>
    <x:row r="33" ht="25" customHeight="1">
      <x:c r="A33" s="535" t="str">
        <x:v>권장</x:v>
      </x:c>
      <x:c r="B33" s="535"/>
      <x:c r="C33" s="385" t="str">
        <x:v>PACKING_JOB_ID</x:v>
      </x:c>
      <x:c r="D33" s="385"/>
      <x:c r="E33" s="385"/>
      <x:c r="F33" s="539" t="str">
        <x:v>nvarchar(50)</x:v>
      </x:c>
      <x:c r="G33" s="539"/>
      <x:c r="H33" s="539"/>
      <x:c r="I33" s="203" t="str">
        <x:v>업체 포장작업 고유ID</x:v>
      </x:c>
      <x:c r="J33" s="203"/>
      <x:c r="K33" s="203"/>
      <x:c r="L33" s="203"/>
      <x:c r="M33" s="203"/>
      <x:c r="N33" s="203"/>
      <x:c r="O33" s="543" t="str">
        <x:v>권장</x:v>
      </x:c>
    </x:row>
    <x:row r="34" ht="25" customHeight="1">
      <x:c r="A34" s="519" t="str">
        <x:v>권장</x:v>
      </x:c>
      <x:c r="B34" s="519"/>
      <x:c r="C34" s="523" t="str">
        <x:v>LABEL_SEQ</x:v>
      </x:c>
      <x:c r="D34" s="523"/>
      <x:c r="E34" s="523"/>
      <x:c r="F34" s="527" t="str">
        <x:v>int</x:v>
      </x:c>
      <x:c r="G34" s="527"/>
      <x:c r="H34" s="527"/>
      <x:c r="I34" s="272" t="str">
        <x:v>포장작업 내 라벨 순번</x:v>
      </x:c>
      <x:c r="J34" s="272"/>
      <x:c r="K34" s="272"/>
      <x:c r="L34" s="272"/>
      <x:c r="M34" s="272"/>
      <x:c r="N34" s="272"/>
      <x:c r="O34" s="531" t="str">
        <x:v>권장</x:v>
      </x:c>
    </x:row>
    <x:row r="35" ht="25" customHeight="1">
      <x:c r="A35" s="535" t="str">
        <x:v>권장</x:v>
      </x:c>
      <x:c r="B35" s="535"/>
      <x:c r="C35" s="385" t="str">
        <x:v>QTY_UOM</x:v>
      </x:c>
      <x:c r="D35" s="385"/>
      <x:c r="E35" s="385"/>
      <x:c r="F35" s="539" t="str">
        <x:v>nvarchar(10)</x:v>
      </x:c>
      <x:c r="G35" s="539"/>
      <x:c r="H35" s="539"/>
      <x:c r="I35" s="203" t="str">
        <x:v>ITEM_QTY 단위: EA / 병 / kg 등</x:v>
      </x:c>
      <x:c r="J35" s="203"/>
      <x:c r="K35" s="203"/>
      <x:c r="L35" s="203"/>
      <x:c r="M35" s="203"/>
      <x:c r="N35" s="203"/>
      <x:c r="O35" s="543" t="str">
        <x:v>권장</x:v>
      </x:c>
    </x:row>
    <x:row r="36" ht="25" customHeight="1">
      <x:c r="A36" s="519" t="str">
        <x:v>권장</x:v>
      </x:c>
      <x:c r="B36" s="519"/>
      <x:c r="C36" s="523" t="str">
        <x:v>DATA_STATUS</x:v>
      </x:c>
      <x:c r="D36" s="523"/>
      <x:c r="E36" s="523"/>
      <x:c r="F36" s="527" t="str">
        <x:v>nvarchar(20)</x:v>
      </x:c>
      <x:c r="G36" s="527"/>
      <x:c r="H36" s="527"/>
      <x:c r="I36" s="272" t="str">
        <x:v>READY / CANCELLED 등 제공 가능 상태</x:v>
      </x:c>
      <x:c r="J36" s="272"/>
      <x:c r="K36" s="272"/>
      <x:c r="L36" s="272"/>
      <x:c r="M36" s="272"/>
      <x:c r="N36" s="272"/>
      <x:c r="O36" s="531" t="str">
        <x:v>권장</x:v>
      </x:c>
    </x:row>
    <x:row r="37" ht="25" customHeight="1">
      <x:c r="A37" s="535" t="str">
        <x:v>권장</x:v>
      </x:c>
      <x:c r="B37" s="535"/>
      <x:c r="C37" s="385" t="str">
        <x:v>REVISION_NO</x:v>
      </x:c>
      <x:c r="D37" s="385"/>
      <x:c r="E37" s="385"/>
      <x:c r="F37" s="539" t="str">
        <x:v>int</x:v>
      </x:c>
      <x:c r="G37" s="539"/>
      <x:c r="H37" s="539"/>
      <x:c r="I37" s="203" t="str">
        <x:v>정정 데이터 버전</x:v>
      </x:c>
      <x:c r="J37" s="203"/>
      <x:c r="K37" s="203"/>
      <x:c r="L37" s="203"/>
      <x:c r="M37" s="203"/>
      <x:c r="N37" s="203"/>
      <x:c r="O37" s="543" t="str">
        <x:v>권장</x:v>
      </x:c>
    </x:row>
    <x:row r="38" ht="25" customHeight="1">
      <x:c r="A38" s="519" t="str">
        <x:v>권장</x:v>
      </x:c>
      <x:c r="B38" s="519"/>
      <x:c r="C38" s="523" t="str">
        <x:v>UPDATED_AT</x:v>
      </x:c>
      <x:c r="D38" s="523"/>
      <x:c r="E38" s="523"/>
      <x:c r="F38" s="527" t="str">
        <x:v>datetime</x:v>
      </x:c>
      <x:c r="G38" s="527"/>
      <x:c r="H38" s="527"/>
      <x:c r="I38" s="272" t="str">
        <x:v>신규·정정·취소 반영 일시</x:v>
      </x:c>
      <x:c r="J38" s="272"/>
      <x:c r="K38" s="272"/>
      <x:c r="L38" s="272"/>
      <x:c r="M38" s="272"/>
      <x:c r="N38" s="272"/>
      <x:c r="O38" s="531" t="str">
        <x:v>권장</x:v>
      </x:c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A41" s="376" t="str">
        <x:v>운영 전환 전 인수 기준(UAT)</x:v>
      </x:c>
      <x:c r="B41" s="377"/>
      <x:c r="C41" s="377"/>
      <x:c r="D41" s="377"/>
      <x:c r="E41" s="377"/>
      <x:c r="F41" s="377"/>
      <x:c r="G41" s="377"/>
      <x:c r="H41" s="377"/>
      <x:c r="I41" s="377"/>
      <x:c r="J41" s="377"/>
      <x:c r="K41" s="377"/>
      <x:c r="L41" s="377"/>
      <x:c r="M41" s="377"/>
      <x:c r="N41" s="377"/>
      <x:c r="O41" s="378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>
      <x:c r="A43" s="338" t="str">
        <x:v>검증 항목</x:v>
      </x:c>
      <x:c r="B43" s="338"/>
      <x:c r="C43" s="338"/>
      <x:c r="D43" s="338" t="str">
        <x:v>검증 기준</x:v>
      </x:c>
      <x:c r="E43" s="338"/>
      <x:c r="F43" s="338"/>
      <x:c r="G43" s="338"/>
      <x:c r="H43" s="338"/>
      <x:c r="I43" s="338"/>
      <x:c r="J43" s="338"/>
      <x:c r="K43" s="338"/>
      <x:c r="L43" s="338"/>
      <x:c r="M43" s="338" t="str">
        <x:v>합격 기준</x:v>
      </x:c>
      <x:c r="N43" s="338"/>
      <x:c r="O43" s="338"/>
    </x:row>
    <x:row r="44" ht="27" customHeight="1">
      <x:c r="A44" s="547" t="str">
        <x:v>라벨·QR 일치</x:v>
      </x:c>
      <x:c r="B44" s="547"/>
      <x:c r="C44" s="547"/>
      <x:c r="D44" s="550" t="str">
        <x:v>표시 6개 값과 QR 내부 6개 값 및 순서가 동일</x:v>
      </x:c>
      <x:c r="E44" s="550"/>
      <x:c r="F44" s="550"/>
      <x:c r="G44" s="550"/>
      <x:c r="H44" s="550"/>
      <x:c r="I44" s="550"/>
      <x:c r="J44" s="550"/>
      <x:c r="K44" s="550"/>
      <x:c r="L44" s="550"/>
      <x:c r="M44" s="554" t="str">
        <x:v>전수 일치</x:v>
      </x:c>
      <x:c r="N44" s="554"/>
      <x:c r="O44" s="554"/>
    </x:row>
    <x:row r="45" ht="27" customHeight="1">
      <x:c r="A45" s="276" t="str">
        <x:v>BOX 무결성</x:v>
      </x:c>
      <x:c r="B45" s="276"/>
      <x:c r="C45" s="276"/>
      <x:c r="D45" s="207" t="str">
        <x:v>같은 작업 내 BOX 범위 중복·누락 없음 / 선행 0 유지</x:v>
      </x:c>
      <x:c r="E45" s="207"/>
      <x:c r="F45" s="207"/>
      <x:c r="G45" s="207"/>
      <x:c r="H45" s="207"/>
      <x:c r="I45" s="207"/>
      <x:c r="J45" s="207"/>
      <x:c r="K45" s="207"/>
      <x:c r="L45" s="207"/>
      <x:c r="M45" s="558" t="str">
        <x:v>오류 0건</x:v>
      </x:c>
      <x:c r="N45" s="558"/>
      <x:c r="O45" s="558"/>
    </x:row>
    <x:row r="46" ht="27" customHeight="1">
      <x:c r="A46" s="547" t="str">
        <x:v>수량 대사</x:v>
      </x:c>
      <x:c r="B46" s="547"/>
      <x:c r="C46" s="547"/>
      <x:c r="D46" s="550" t="str">
        <x:v>라벨별 ITEM_QTY 합계 = 최종 패킹수량</x:v>
      </x:c>
      <x:c r="E46" s="550"/>
      <x:c r="F46" s="550"/>
      <x:c r="G46" s="550"/>
      <x:c r="H46" s="550"/>
      <x:c r="I46" s="550"/>
      <x:c r="J46" s="550"/>
      <x:c r="K46" s="550"/>
      <x:c r="L46" s="550"/>
      <x:c r="M46" s="554" t="str">
        <x:v>합계 일치</x:v>
      </x:c>
      <x:c r="N46" s="554"/>
      <x:c r="O46" s="554"/>
    </x:row>
    <x:row r="47" ht="27" customHeight="1">
      <x:c r="A47" s="276" t="str">
        <x:v>스캐너 판독</x:v>
      </x:c>
      <x:c r="B47" s="276"/>
      <x:c r="C47" s="276"/>
      <x:c r="D47" s="207" t="str">
        <x:v>실물 라벨을 창고 운영 스캐너로 연속 판독</x:v>
      </x:c>
      <x:c r="E47" s="207"/>
      <x:c r="F47" s="207"/>
      <x:c r="G47" s="207"/>
      <x:c r="H47" s="207"/>
      <x:c r="I47" s="207"/>
      <x:c r="J47" s="207"/>
      <x:c r="K47" s="207"/>
      <x:c r="L47" s="207"/>
      <x:c r="M47" s="558" t="str">
        <x:v>100회 성공</x:v>
      </x:c>
      <x:c r="N47" s="558"/>
      <x:c r="O47" s="558"/>
    </x:row>
    <x:row r="48" ht="27" customHeight="1">
      <x:c r="A48" s="547" t="str">
        <x:v>중복 방지</x:v>
      </x:c>
      <x:c r="B48" s="547"/>
      <x:c r="C48" s="547"/>
      <x:c r="D48" s="550" t="str">
        <x:v>동일 데이터를 재전송·재조회해도 중복 발행되지 않음</x:v>
      </x:c>
      <x:c r="E48" s="550"/>
      <x:c r="F48" s="550"/>
      <x:c r="G48" s="550"/>
      <x:c r="H48" s="550"/>
      <x:c r="I48" s="550"/>
      <x:c r="J48" s="550"/>
      <x:c r="K48" s="550"/>
      <x:c r="L48" s="550"/>
      <x:c r="M48" s="554" t="str">
        <x:v>중복 0건</x:v>
      </x:c>
      <x:c r="N48" s="554"/>
      <x:c r="O48" s="554"/>
    </x:row>
    <x:row r="49" ht="27" customHeight="1">
      <x:c r="A49" s="276" t="str">
        <x:v>취소·재발행</x:v>
      </x:c>
      <x:c r="B49" s="276"/>
      <x:c r="C49" s="276"/>
      <x:c r="D49" s="207" t="str">
        <x:v>원본 식별자와 사유·시각·횟수를 추적 가능</x:v>
      </x:c>
      <x:c r="E49" s="207"/>
      <x:c r="F49" s="207"/>
      <x:c r="G49" s="207"/>
      <x:c r="H49" s="207"/>
      <x:c r="I49" s="207"/>
      <x:c r="J49" s="207"/>
      <x:c r="K49" s="207"/>
      <x:c r="L49" s="207"/>
      <x:c r="M49" s="558" t="str">
        <x:v>이력 확인</x:v>
      </x:c>
      <x:c r="N49" s="558"/>
      <x:c r="O49" s="558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>
      <x:c r="A52" s="577" t="str">
        <x:v>회의 결론 기록란
□ 1안 수행 가능 / 수행 시작일: __________   □ 2안 적용 / 신규 VIEW 담당자·예정일: ____________________
□ 수량·BOX·QR 규칙 확정   □ 샘플 라벨 제출일: __________   □ 창고 UAT 일정: __________</x:v>
      </x:c>
      <x:c r="B52" s="578"/>
      <x:c r="C52" s="578"/>
      <x:c r="D52" s="578"/>
      <x:c r="E52" s="578"/>
      <x:c r="F52" s="578"/>
      <x:c r="G52" s="578"/>
      <x:c r="H52" s="578"/>
      <x:c r="I52" s="578"/>
      <x:c r="J52" s="578"/>
      <x:c r="K52" s="578"/>
      <x:c r="L52" s="578"/>
      <x:c r="M52" s="578"/>
      <x:c r="N52" s="578"/>
      <x:c r="O52" s="579"/>
    </x:row>
    <x:row r="53">
      <x:c r="A53" s="580"/>
      <x:c r="B53" s="581"/>
      <x:c r="C53" s="581"/>
      <x:c r="D53" s="581"/>
      <x:c r="E53" s="581"/>
      <x:c r="F53" s="581"/>
      <x:c r="G53" s="581"/>
      <x:c r="H53" s="581"/>
      <x:c r="I53" s="581"/>
      <x:c r="J53" s="581"/>
      <x:c r="K53" s="581"/>
      <x:c r="L53" s="581"/>
      <x:c r="M53" s="581"/>
      <x:c r="N53" s="581"/>
      <x:c r="O53" s="582"/>
    </x:row>
    <x:row r="54">
      <x:c r="A54" s="583"/>
      <x:c r="B54" s="584"/>
      <x:c r="C54" s="584"/>
      <x:c r="D54" s="584"/>
      <x:c r="E54" s="584"/>
      <x:c r="F54" s="584"/>
      <x:c r="G54" s="584"/>
      <x:c r="H54" s="584"/>
      <x:c r="I54" s="584"/>
      <x:c r="J54" s="584"/>
      <x:c r="K54" s="584"/>
      <x:c r="L54" s="584"/>
      <x:c r="M54" s="584"/>
      <x:c r="N54" s="584"/>
      <x:c r="O54" s="585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</x:sheetData>
  <x:mergeCells>
    <x:mergeCell ref="A1:O3"/>
    <x:mergeCell ref="A4:O4"/>
    <x:mergeCell ref="A6:O7"/>
    <x:mergeCell ref="A9:G9"/>
    <x:mergeCell ref="I9:O9"/>
    <x:mergeCell ref="A11:G11"/>
    <x:mergeCell ref="I11:O11"/>
    <x:mergeCell ref="A12:G12"/>
    <x:mergeCell ref="I12:O12"/>
    <x:mergeCell ref="A13:G13"/>
    <x:mergeCell ref="I13:O13"/>
    <x:mergeCell ref="A14:G14"/>
    <x:mergeCell ref="I14:O14"/>
    <x:mergeCell ref="A15:G15"/>
    <x:mergeCell ref="I15:O15"/>
    <x:mergeCell ref="A16:G16"/>
    <x:mergeCell ref="I16:O16"/>
    <x:mergeCell ref="A17:G17"/>
    <x:mergeCell ref="I17:O17"/>
    <x:mergeCell ref="A18:G18"/>
    <x:mergeCell ref="I18:O18"/>
    <x:mergeCell ref="A19:G19"/>
    <x:mergeCell ref="I19:O19"/>
    <x:mergeCell ref="A22:O22"/>
    <x:mergeCell ref="A24:B24"/>
    <x:mergeCell ref="C24:E24"/>
    <x:mergeCell ref="F24:H24"/>
    <x:mergeCell ref="I24:N24"/>
    <x:mergeCell ref="A25:B25"/>
    <x:mergeCell ref="C25:E25"/>
    <x:mergeCell ref="F25:H25"/>
    <x:mergeCell ref="I25:N25"/>
    <x:mergeCell ref="A26:B26"/>
    <x:mergeCell ref="C26:E26"/>
    <x:mergeCell ref="F26:H26"/>
    <x:mergeCell ref="I26:N26"/>
    <x:mergeCell ref="A27:B27"/>
    <x:mergeCell ref="C27:E27"/>
    <x:mergeCell ref="F27:H27"/>
    <x:mergeCell ref="I27:N27"/>
    <x:mergeCell ref="A28:B28"/>
    <x:mergeCell ref="C28:E28"/>
    <x:mergeCell ref="F28:H28"/>
    <x:mergeCell ref="I28:N28"/>
    <x:mergeCell ref="A29:B29"/>
    <x:mergeCell ref="C29:E29"/>
    <x:mergeCell ref="F29:H29"/>
    <x:mergeCell ref="I29:N29"/>
    <x:mergeCell ref="A30:B30"/>
    <x:mergeCell ref="C30:E30"/>
    <x:mergeCell ref="F30:H30"/>
    <x:mergeCell ref="I30:N30"/>
    <x:mergeCell ref="A31:B31"/>
    <x:mergeCell ref="C31:E31"/>
    <x:mergeCell ref="F31:H31"/>
    <x:mergeCell ref="I31:N31"/>
    <x:mergeCell ref="A32:B32"/>
    <x:mergeCell ref="C32:E32"/>
    <x:mergeCell ref="F32:H32"/>
    <x:mergeCell ref="I32:N32"/>
    <x:mergeCell ref="A33:B33"/>
    <x:mergeCell ref="C33:E33"/>
    <x:mergeCell ref="F33:H33"/>
    <x:mergeCell ref="I33:N33"/>
    <x:mergeCell ref="A34:B34"/>
    <x:mergeCell ref="C34:E34"/>
    <x:mergeCell ref="F34:H34"/>
    <x:mergeCell ref="I34:N34"/>
    <x:mergeCell ref="A35:B35"/>
    <x:mergeCell ref="C35:E35"/>
    <x:mergeCell ref="F35:H35"/>
    <x:mergeCell ref="I35:N35"/>
    <x:mergeCell ref="A36:B36"/>
    <x:mergeCell ref="C36:E36"/>
    <x:mergeCell ref="F36:H36"/>
    <x:mergeCell ref="I36:N36"/>
    <x:mergeCell ref="A37:B37"/>
    <x:mergeCell ref="C37:E37"/>
    <x:mergeCell ref="F37:H37"/>
    <x:mergeCell ref="I37:N37"/>
    <x:mergeCell ref="A38:B38"/>
    <x:mergeCell ref="C38:E38"/>
    <x:mergeCell ref="F38:H38"/>
    <x:mergeCell ref="I38:N38"/>
    <x:mergeCell ref="A41:O41"/>
    <x:mergeCell ref="A43:C43"/>
    <x:mergeCell ref="D43:L43"/>
    <x:mergeCell ref="M43:O43"/>
    <x:mergeCell ref="A44:C44"/>
    <x:mergeCell ref="D44:L44"/>
    <x:mergeCell ref="M44:O44"/>
    <x:mergeCell ref="A45:C45"/>
    <x:mergeCell ref="D45:L45"/>
    <x:mergeCell ref="M45:O45"/>
    <x:mergeCell ref="A46:C46"/>
    <x:mergeCell ref="D46:L46"/>
    <x:mergeCell ref="M46:O46"/>
    <x:mergeCell ref="A47:C47"/>
    <x:mergeCell ref="D47:L47"/>
    <x:mergeCell ref="M47:O47"/>
    <x:mergeCell ref="A48:C48"/>
    <x:mergeCell ref="D48:L48"/>
    <x:mergeCell ref="M48:O48"/>
    <x:mergeCell ref="A49:C49"/>
    <x:mergeCell ref="D49:L49"/>
    <x:mergeCell ref="M49:O49"/>
    <x:mergeCell ref="A52:O54"/>
  </x:mergeCells>
  <x:pageMargins left="0.7" right="0.7" top="0.75" bottom="0.75" header="0.3" footer="0.3"/>
</x:worksheet>
</file>